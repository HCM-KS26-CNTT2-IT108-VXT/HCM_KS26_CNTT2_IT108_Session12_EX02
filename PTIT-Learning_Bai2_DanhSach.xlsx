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 sách" sheetId="1" state="visible" r:id="rId3"/>
    <sheet name="Nguồn" sheetId="2" state="visible" r:id="rId4"/>
    <sheet name="Khóa học" sheetId="3" state="visible" r:id="rId5"/>
    <sheet name="Thống kê" sheetId="4" state="visible" r:id="rId6"/>
    <sheet name="KiemThu_TRIM" sheetId="5" state="visible" r:id="rId7"/>
    <sheet name="HuongDan" sheetId="6" state="visible" r:id="rId8"/>
  </sheets>
  <definedNames>
    <definedName function="false" hidden="true" localSheetId="0" name="_xlnm._FilterDatabase" vbProcedure="false">'Danh sách'!$A$1:$J$201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<sst xmlns="http://schemas.openxmlformats.org/spreadsheetml/2006/main" count="1466" uniqueCount="655">
  <si>
    <t xml:space="preserve">STT</t>
  </si>
  <si>
    <t xml:space="preserve">Họ và tên</t>
  </si>
  <si>
    <t xml:space="preserve">Email</t>
  </si>
  <si>
    <t xml:space="preserve">SĐT</t>
  </si>
  <si>
    <t xml:space="preserve">Khoa</t>
  </si>
  <si>
    <t xml:space="preserve">Nguồn đăng ký</t>
  </si>
  <si>
    <t xml:space="preserve">Khóa học quan tâm</t>
  </si>
  <si>
    <t xml:space="preserve">Ngày đăng ký</t>
  </si>
  <si>
    <t xml:space="preserve">Điểm chuyên cần</t>
  </si>
  <si>
    <t xml:space="preserve">Trạng thái</t>
  </si>
  <si>
    <t xml:space="preserve">Trần Thanh Quân</t>
  </si>
  <si>
    <t xml:space="preserve">tran.thanh.quan1@email.com</t>
  </si>
  <si>
    <t xml:space="preserve">0981399869</t>
  </si>
  <si>
    <t xml:space="preserve">Đa phương tiện</t>
  </si>
  <si>
    <t xml:space="preserve">Google Form</t>
  </si>
  <si>
    <t xml:space="preserve">An toàn thông tin</t>
  </si>
  <si>
    <t xml:space="preserve">Đã xác nhận</t>
  </si>
  <si>
    <t xml:space="preserve">Phạm Văn Trang</t>
  </si>
  <si>
    <t xml:space="preserve">pham.van.trang2@email.com</t>
  </si>
  <si>
    <t xml:space="preserve">0911417075</t>
  </si>
  <si>
    <t xml:space="preserve">Viễn thông</t>
  </si>
  <si>
    <t xml:space="preserve">Website</t>
  </si>
  <si>
    <t xml:space="preserve">Lập trình Web</t>
  </si>
  <si>
    <t xml:space="preserve">Chờ xác nhận</t>
  </si>
  <si>
    <t xml:space="preserve">Đỗ Thị Huy</t>
  </si>
  <si>
    <t xml:space="preserve">do.thi.huy3@email.com</t>
  </si>
  <si>
    <t xml:space="preserve">0951884472</t>
  </si>
  <si>
    <t xml:space="preserve">Kế toán</t>
  </si>
  <si>
    <t xml:space="preserve">Excel nâng cao</t>
  </si>
  <si>
    <t xml:space="preserve">Vũ Ngọc Nam</t>
  </si>
  <si>
    <t xml:space="preserve">vu.ngoc.nam4@email.com</t>
  </si>
  <si>
    <t xml:space="preserve">0916987168</t>
  </si>
  <si>
    <t xml:space="preserve">Zalo OA</t>
  </si>
  <si>
    <t xml:space="preserve">Đặng Gia Phúc</t>
  </si>
  <si>
    <t xml:space="preserve">dang.gia.phuc5@email.com</t>
  </si>
  <si>
    <t xml:space="preserve">0988093208</t>
  </si>
  <si>
    <t xml:space="preserve">CNTT</t>
  </si>
  <si>
    <t xml:space="preserve">Tiếng Anh giao tiếp</t>
  </si>
  <si>
    <t xml:space="preserve">Phạm Thị Tuấn</t>
  </si>
  <si>
    <t xml:space="preserve">pham.thi.tuan6@email.com</t>
  </si>
  <si>
    <t xml:space="preserve">0977848648</t>
  </si>
  <si>
    <t xml:space="preserve">Facebook Ads</t>
  </si>
  <si>
    <t xml:space="preserve">Phạm Quốc Khánh</t>
  </si>
  <si>
    <t xml:space="preserve">pham.quoc.khanh7@email.com</t>
  </si>
  <si>
    <t xml:space="preserve">0900297875</t>
  </si>
  <si>
    <t xml:space="preserve">Đặng Anh Vy</t>
  </si>
  <si>
    <t xml:space="preserve">dang.anh.vy8@email.com</t>
  </si>
  <si>
    <t xml:space="preserve">0904571784</t>
  </si>
  <si>
    <t xml:space="preserve">Bùi Thanh Dũng</t>
  </si>
  <si>
    <t xml:space="preserve">bui.thanh.dung9@email.com</t>
  </si>
  <si>
    <t xml:space="preserve">0936270107</t>
  </si>
  <si>
    <t xml:space="preserve">Quản trị kinh doanh</t>
  </si>
  <si>
    <t xml:space="preserve">Thiết kế UI/UX</t>
  </si>
  <si>
    <t xml:space="preserve">Trần Gia Bình</t>
  </si>
  <si>
    <t xml:space="preserve">tran.gia.binh10@email.com</t>
  </si>
  <si>
    <t xml:space="preserve">0984520599</t>
  </si>
  <si>
    <t xml:space="preserve">Data Science</t>
  </si>
  <si>
    <t xml:space="preserve">Lê Gia Yến </t>
  </si>
  <si>
    <t xml:space="preserve">le.gia.yen11@email.com</t>
  </si>
  <si>
    <t xml:space="preserve">0984162294</t>
  </si>
  <si>
    <t xml:space="preserve">Nguyễn Thị Mai</t>
  </si>
  <si>
    <t xml:space="preserve">nguyen.thi.mai12@email.com</t>
  </si>
  <si>
    <t xml:space="preserve">0910550087</t>
  </si>
  <si>
    <t xml:space="preserve">Bùi Gia Trang</t>
  </si>
  <si>
    <t xml:space="preserve">bui.gia.trang13@email.com</t>
  </si>
  <si>
    <t xml:space="preserve">0922983695</t>
  </si>
  <si>
    <t xml:space="preserve">Dương Minh Bình</t>
  </si>
  <si>
    <t xml:space="preserve">duong.minh.binh14@email.com</t>
  </si>
  <si>
    <t xml:space="preserve">0980737028</t>
  </si>
  <si>
    <t xml:space="preserve">Đặng Quốc Nam</t>
  </si>
  <si>
    <t xml:space="preserve">dang.quoc.nam15@email.com</t>
  </si>
  <si>
    <t xml:space="preserve">0986164252</t>
  </si>
  <si>
    <t xml:space="preserve">Đỗ Ngọc Nga</t>
  </si>
  <si>
    <t xml:space="preserve">do.ngoc.nga16@email.com</t>
  </si>
  <si>
    <t xml:space="preserve">0918841330</t>
  </si>
  <si>
    <t xml:space="preserve">Dương Minh An</t>
  </si>
  <si>
    <t xml:space="preserve">duong.minh.an17@email.com</t>
  </si>
  <si>
    <t xml:space="preserve">0952589831</t>
  </si>
  <si>
    <t xml:space="preserve">Marketing Digital</t>
  </si>
  <si>
    <t xml:space="preserve">Dương Anh Giang</t>
  </si>
  <si>
    <t xml:space="preserve">duong.anh.giang18@email.com</t>
  </si>
  <si>
    <t xml:space="preserve">0914162105</t>
  </si>
  <si>
    <t xml:space="preserve">Trần Quốc Linh</t>
  </si>
  <si>
    <t xml:space="preserve">tran.quoc.linh19@email.com</t>
  </si>
  <si>
    <t xml:space="preserve">0924410646</t>
  </si>
  <si>
    <t xml:space="preserve">Lập trình Python</t>
  </si>
  <si>
    <t xml:space="preserve">Đỗ Gia Long</t>
  </si>
  <si>
    <t xml:space="preserve">do.gia.long20@email.com</t>
  </si>
  <si>
    <t xml:space="preserve">0957990659</t>
  </si>
  <si>
    <t xml:space="preserve">Dương Quốc Mai</t>
  </si>
  <si>
    <t xml:space="preserve">duong.quoc.mai21@email.com</t>
  </si>
  <si>
    <t xml:space="preserve">0945060454</t>
  </si>
  <si>
    <t xml:space="preserve">Ngô Văn Sơn</t>
  </si>
  <si>
    <t xml:space="preserve">ngo.van.son22@email.com</t>
  </si>
  <si>
    <t xml:space="preserve">0953801291</t>
  </si>
  <si>
    <t xml:space="preserve">Hoàng Văn Nam</t>
  </si>
  <si>
    <t xml:space="preserve">hoang.van.nam23@email.com</t>
  </si>
  <si>
    <t xml:space="preserve">0992566636</t>
  </si>
  <si>
    <t xml:space="preserve">Đỗ Anh Mai</t>
  </si>
  <si>
    <t xml:space="preserve">do.anh.mai24@email.com</t>
  </si>
  <si>
    <t xml:space="preserve">0942300487</t>
  </si>
  <si>
    <t xml:space="preserve">Lê Anh Bình</t>
  </si>
  <si>
    <t xml:space="preserve">le.anh.binh25@email.com</t>
  </si>
  <si>
    <t xml:space="preserve">0984585003</t>
  </si>
  <si>
    <t xml:space="preserve">Đặng Thanh Hùng</t>
  </si>
  <si>
    <t xml:space="preserve">dang.thanh.hung26@email.com</t>
  </si>
  <si>
    <t xml:space="preserve">0984535577</t>
  </si>
  <si>
    <t xml:space="preserve">Lê Ngọc An</t>
  </si>
  <si>
    <t xml:space="preserve">le.ngoc.an27@email.com</t>
  </si>
  <si>
    <t xml:space="preserve">0958602145</t>
  </si>
  <si>
    <t xml:space="preserve">Phạm Gia Lan</t>
  </si>
  <si>
    <t xml:space="preserve">pham.gia.lan28@email.com</t>
  </si>
  <si>
    <t xml:space="preserve">0990668828</t>
  </si>
  <si>
    <t xml:space="preserve">Nguyễn Gia Vy</t>
  </si>
  <si>
    <t xml:space="preserve">nguyen.gia.vy29@email.com</t>
  </si>
  <si>
    <t xml:space="preserve">0932448452</t>
  </si>
  <si>
    <t xml:space="preserve">Đặng Thanh Hạnh</t>
  </si>
  <si>
    <t xml:space="preserve">dang.thanh.hanh30@email.com</t>
  </si>
  <si>
    <t xml:space="preserve">0982802582</t>
  </si>
  <si>
    <t xml:space="preserve">Hoàng Hữu Sơn</t>
  </si>
  <si>
    <t xml:space="preserve">hoang.huu.son31@email.com</t>
  </si>
  <si>
    <t xml:space="preserve">0929932157</t>
  </si>
  <si>
    <t xml:space="preserve">Dương Thị Long</t>
  </si>
  <si>
    <t xml:space="preserve">duong.thi.long32@email.com</t>
  </si>
  <si>
    <t xml:space="preserve">0977188357</t>
  </si>
  <si>
    <t xml:space="preserve">Hoàng Hữu Hà</t>
  </si>
  <si>
    <t xml:space="preserve">hoang.huu.ha33@email.com</t>
  </si>
  <si>
    <t xml:space="preserve">0956885576</t>
  </si>
  <si>
    <t xml:space="preserve">Vũ Thanh Nam</t>
  </si>
  <si>
    <t xml:space="preserve">vu.thanh.nam34@email.com</t>
  </si>
  <si>
    <t xml:space="preserve">0996327926</t>
  </si>
  <si>
    <t xml:space="preserve">Hoàng Minh Sơn</t>
  </si>
  <si>
    <t xml:space="preserve">hoang.minh.son35@email.com</t>
  </si>
  <si>
    <t xml:space="preserve">0943528144</t>
  </si>
  <si>
    <t xml:space="preserve"> Dương Đức Linh</t>
  </si>
  <si>
    <t xml:space="preserve">duong.duc.linh36@email.com</t>
  </si>
  <si>
    <t xml:space="preserve">0917883655</t>
  </si>
  <si>
    <t xml:space="preserve">Lê Thanh Thảo</t>
  </si>
  <si>
    <t xml:space="preserve">le.thanh.thao37@email.com</t>
  </si>
  <si>
    <t xml:space="preserve">0996775003</t>
  </si>
  <si>
    <t xml:space="preserve">Bùi Anh Khánh</t>
  </si>
  <si>
    <t xml:space="preserve">bui.anh.khanh38@email.com</t>
  </si>
  <si>
    <t xml:space="preserve">0995183801</t>
  </si>
  <si>
    <t xml:space="preserve">Lý Quốc Cường</t>
  </si>
  <si>
    <t xml:space="preserve">ly.quoc.cuong39@email.com</t>
  </si>
  <si>
    <t xml:space="preserve">0996898210</t>
  </si>
  <si>
    <t xml:space="preserve">Dương Thanh Linh</t>
  </si>
  <si>
    <t xml:space="preserve">duong.thanh.linh40@email.com</t>
  </si>
  <si>
    <t xml:space="preserve">0955974754</t>
  </si>
  <si>
    <t xml:space="preserve">Bùi Hữu Long</t>
  </si>
  <si>
    <t xml:space="preserve">bui.huu.long41@email.com</t>
  </si>
  <si>
    <t xml:space="preserve">0948643906</t>
  </si>
  <si>
    <t xml:space="preserve">Đỗ Anh Trang</t>
  </si>
  <si>
    <t xml:space="preserve">do.anh.trang42@email.com</t>
  </si>
  <si>
    <t xml:space="preserve">0957555218</t>
  </si>
  <si>
    <t xml:space="preserve">Phạm Văn Nga</t>
  </si>
  <si>
    <t xml:space="preserve">pham.van.nga43@email.com</t>
  </si>
  <si>
    <t xml:space="preserve">0933688283</t>
  </si>
  <si>
    <t xml:space="preserve">Vũ Thanh Tuấn</t>
  </si>
  <si>
    <t xml:space="preserve">vu.thanh.tuan44@email.com</t>
  </si>
  <si>
    <t xml:space="preserve">0968983298</t>
  </si>
  <si>
    <t xml:space="preserve">Ngô Văn Vy</t>
  </si>
  <si>
    <t xml:space="preserve">ngo.van.vy45@email.com</t>
  </si>
  <si>
    <t xml:space="preserve">0904422485</t>
  </si>
  <si>
    <t xml:space="preserve">dang.gia.phuc46@email.com</t>
  </si>
  <si>
    <t xml:space="preserve">0980438581</t>
  </si>
  <si>
    <t xml:space="preserve">Đỗ Văn Phúc</t>
  </si>
  <si>
    <t xml:space="preserve">do.van.phuc47@email.com</t>
  </si>
  <si>
    <t xml:space="preserve">0900159450</t>
  </si>
  <si>
    <t xml:space="preserve">Lê Hữu Hùng</t>
  </si>
  <si>
    <t xml:space="preserve">le.huu.hung48@email.com</t>
  </si>
  <si>
    <t xml:space="preserve">0973528667</t>
  </si>
  <si>
    <t xml:space="preserve">Đỗ Gia Phúc</t>
  </si>
  <si>
    <t xml:space="preserve">do.gia.phuc49@email.com</t>
  </si>
  <si>
    <t xml:space="preserve">0913311592</t>
  </si>
  <si>
    <t xml:space="preserve">Đặng Văn Sơn</t>
  </si>
  <si>
    <t xml:space="preserve">dang.van.son50@email.com</t>
  </si>
  <si>
    <t xml:space="preserve">0924456078</t>
  </si>
  <si>
    <t xml:space="preserve">Lê Anh Hùng</t>
  </si>
  <si>
    <t xml:space="preserve">le.anh.hung51@email.com</t>
  </si>
  <si>
    <t xml:space="preserve">0957699085</t>
  </si>
  <si>
    <t xml:space="preserve">Đỗ Anh Dũng</t>
  </si>
  <si>
    <t xml:space="preserve">do.anh.dung52@email.com</t>
  </si>
  <si>
    <t xml:space="preserve">0944019018</t>
  </si>
  <si>
    <t xml:space="preserve">Lê Thanh Giang</t>
  </si>
  <si>
    <t xml:space="preserve">le.thanh.giang53@email.com</t>
  </si>
  <si>
    <t xml:space="preserve">0901612840</t>
  </si>
  <si>
    <t xml:space="preserve">Vũ Minh Lan</t>
  </si>
  <si>
    <t xml:space="preserve">vu.minh.lan54@email.com</t>
  </si>
  <si>
    <t xml:space="preserve">0973573638</t>
  </si>
  <si>
    <t xml:space="preserve">Trần Gia Phúc</t>
  </si>
  <si>
    <t xml:space="preserve">tran.gia.phuc55@email.com</t>
  </si>
  <si>
    <t xml:space="preserve">0996780736</t>
  </si>
  <si>
    <t xml:space="preserve">Vũ Quốc Hạnh</t>
  </si>
  <si>
    <t xml:space="preserve">vu.quoc.hanh56@email.com</t>
  </si>
  <si>
    <t xml:space="preserve">0969059828</t>
  </si>
  <si>
    <t xml:space="preserve">Bùi Đức Dũng</t>
  </si>
  <si>
    <t xml:space="preserve">bui.duc.dung57@email.com</t>
  </si>
  <si>
    <t xml:space="preserve">0916603304</t>
  </si>
  <si>
    <t xml:space="preserve">Lê Văn Hải</t>
  </si>
  <si>
    <t xml:space="preserve">le.van.hai58@email.com</t>
  </si>
  <si>
    <t xml:space="preserve">0981780578</t>
  </si>
  <si>
    <t xml:space="preserve">Nguyễn Quốc Cường</t>
  </si>
  <si>
    <t xml:space="preserve">nguyen.quoc.cuong59@email.com</t>
  </si>
  <si>
    <t xml:space="preserve">0921430490</t>
  </si>
  <si>
    <t xml:space="preserve">Đỗ Hữu Phúc</t>
  </si>
  <si>
    <t xml:space="preserve">do.huu.phuc60@email.com</t>
  </si>
  <si>
    <t xml:space="preserve">0908538671</t>
  </si>
  <si>
    <t xml:space="preserve">Ngô Minh Hà</t>
  </si>
  <si>
    <t xml:space="preserve">ngo.minh.ha61@email.com</t>
  </si>
  <si>
    <t xml:space="preserve">0932838564</t>
  </si>
  <si>
    <t xml:space="preserve">Lê Gia Quân</t>
  </si>
  <si>
    <t xml:space="preserve">le.gia.quan62@email.com</t>
  </si>
  <si>
    <t xml:space="preserve">0937252781</t>
  </si>
  <si>
    <t xml:space="preserve">Đặng Gia Linh</t>
  </si>
  <si>
    <t xml:space="preserve">dang.gia.linh63@email.com</t>
  </si>
  <si>
    <t xml:space="preserve">0985190431</t>
  </si>
  <si>
    <t xml:space="preserve">Nguyễn Thanh Huy</t>
  </si>
  <si>
    <t xml:space="preserve">nguyen.thanh.huy64@email.com</t>
  </si>
  <si>
    <t xml:space="preserve">0927913729</t>
  </si>
  <si>
    <t xml:space="preserve">Hoàng Minh Nam</t>
  </si>
  <si>
    <t xml:space="preserve">hoang.minh.nam65@email.com</t>
  </si>
  <si>
    <t xml:space="preserve">0940794260</t>
  </si>
  <si>
    <t xml:space="preserve">Trần Đức Khánh</t>
  </si>
  <si>
    <t xml:space="preserve">tran.duc.khanh66@email.com</t>
  </si>
  <si>
    <t xml:space="preserve">0977447967</t>
  </si>
  <si>
    <t xml:space="preserve">Phạm Hữu Yến</t>
  </si>
  <si>
    <t xml:space="preserve">pham.huu.yen67@email.com</t>
  </si>
  <si>
    <t xml:space="preserve">0946352136</t>
  </si>
  <si>
    <t xml:space="preserve">do.anh.mai68@email.com</t>
  </si>
  <si>
    <t xml:space="preserve">0945732840</t>
  </si>
  <si>
    <t xml:space="preserve">Ngô Minh Nga</t>
  </si>
  <si>
    <t xml:space="preserve">ngo.minh.nga69@email.com</t>
  </si>
  <si>
    <t xml:space="preserve">0967094098</t>
  </si>
  <si>
    <t xml:space="preserve">Đỗ Anh Lan</t>
  </si>
  <si>
    <t xml:space="preserve">do.anh.lan70@email.com</t>
  </si>
  <si>
    <t xml:space="preserve">0998556830</t>
  </si>
  <si>
    <t xml:space="preserve">Đỗ Gia Mai</t>
  </si>
  <si>
    <t xml:space="preserve">do.gia.mai71@email.com</t>
  </si>
  <si>
    <t xml:space="preserve">0950133279</t>
  </si>
  <si>
    <t xml:space="preserve">Nguyễn Anh Cường</t>
  </si>
  <si>
    <t xml:space="preserve">nguyen.anh.cuong72@email.com</t>
  </si>
  <si>
    <t xml:space="preserve">0911361795</t>
  </si>
  <si>
    <t xml:space="preserve">Nguyễn Thị Cường</t>
  </si>
  <si>
    <t xml:space="preserve">nguyen.thi.cuong73@email.com</t>
  </si>
  <si>
    <t xml:space="preserve">0952761138</t>
  </si>
  <si>
    <t xml:space="preserve">Bùi Ngọc Dũng</t>
  </si>
  <si>
    <t xml:space="preserve">bui.ngoc.dung74@email.com</t>
  </si>
  <si>
    <t xml:space="preserve">0986210761</t>
  </si>
  <si>
    <t xml:space="preserve">Nguyễn Đức Hà</t>
  </si>
  <si>
    <t xml:space="preserve">nguyen.duc.ha75@email.com</t>
  </si>
  <si>
    <t xml:space="preserve">0961488361</t>
  </si>
  <si>
    <t xml:space="preserve">Hoàng Đức Dũng</t>
  </si>
  <si>
    <t xml:space="preserve">hoang.duc.dung76@email.com</t>
  </si>
  <si>
    <t xml:space="preserve">0935161994</t>
  </si>
  <si>
    <t xml:space="preserve">Đỗ Minh Quân</t>
  </si>
  <si>
    <t xml:space="preserve">do.minh.quan77@email.com</t>
  </si>
  <si>
    <t xml:space="preserve">0964089487</t>
  </si>
  <si>
    <t xml:space="preserve">Lý Gia Nga </t>
  </si>
  <si>
    <t xml:space="preserve">ly.gia.nga78@email.com</t>
  </si>
  <si>
    <t xml:space="preserve">0925844419</t>
  </si>
  <si>
    <t xml:space="preserve">Dương Thị Vy</t>
  </si>
  <si>
    <t xml:space="preserve">duong.thi.vy79@email.com</t>
  </si>
  <si>
    <t xml:space="preserve">0956697961</t>
  </si>
  <si>
    <t xml:space="preserve">Vũ Gia Mai</t>
  </si>
  <si>
    <t xml:space="preserve">vu.gia.mai80@email.com</t>
  </si>
  <si>
    <t xml:space="preserve">0950565470</t>
  </si>
  <si>
    <t xml:space="preserve">Đỗ Văn Dũng</t>
  </si>
  <si>
    <t xml:space="preserve">do.van.dung81@email.com</t>
  </si>
  <si>
    <t xml:space="preserve">0956464403</t>
  </si>
  <si>
    <t xml:space="preserve">Ngô Anh Nga</t>
  </si>
  <si>
    <t xml:space="preserve">ngo.anh.nga82@email.com</t>
  </si>
  <si>
    <t xml:space="preserve">0919889042</t>
  </si>
  <si>
    <t xml:space="preserve">Trần Thị Thảo</t>
  </si>
  <si>
    <t xml:space="preserve">tran.thi.thao83@email.com</t>
  </si>
  <si>
    <t xml:space="preserve">0960278046</t>
  </si>
  <si>
    <t xml:space="preserve">Hoàng Minh Khánh</t>
  </si>
  <si>
    <t xml:space="preserve">hoang.minh.khanh84@email.com</t>
  </si>
  <si>
    <t xml:space="preserve">0982960179</t>
  </si>
  <si>
    <t xml:space="preserve">Trần Minh Nam</t>
  </si>
  <si>
    <t xml:space="preserve">tran.minh.nam85@email.com</t>
  </si>
  <si>
    <t xml:space="preserve">0934789235</t>
  </si>
  <si>
    <t xml:space="preserve">Bùi Đức Cường</t>
  </si>
  <si>
    <t xml:space="preserve">bui.duc.cuong86@email.com</t>
  </si>
  <si>
    <t xml:space="preserve">0956105914</t>
  </si>
  <si>
    <t xml:space="preserve">Trần Anh Cường</t>
  </si>
  <si>
    <t xml:space="preserve">tran.anh.cuong87@email.com</t>
  </si>
  <si>
    <t xml:space="preserve">0937852223</t>
  </si>
  <si>
    <t xml:space="preserve">Vũ Hữu Hải</t>
  </si>
  <si>
    <t xml:space="preserve">vu.huu.hai88@email.com</t>
  </si>
  <si>
    <t xml:space="preserve">0925719294</t>
  </si>
  <si>
    <t xml:space="preserve">Hoàng Ngọc Tuấn</t>
  </si>
  <si>
    <t xml:space="preserve">hoang.ngoc.tuan89@email.com</t>
  </si>
  <si>
    <t xml:space="preserve">0904247613</t>
  </si>
  <si>
    <t xml:space="preserve">Hoàng Minh Yến</t>
  </si>
  <si>
    <t xml:space="preserve">hoang.minh.yen90@email.com</t>
  </si>
  <si>
    <t xml:space="preserve">0901461338</t>
  </si>
  <si>
    <t xml:space="preserve">Trần Quốc Phúc</t>
  </si>
  <si>
    <t xml:space="preserve">tran.quoc.phuc91@email.com</t>
  </si>
  <si>
    <t xml:space="preserve">0986589305</t>
  </si>
  <si>
    <t xml:space="preserve">Dương Thanh Long</t>
  </si>
  <si>
    <t xml:space="preserve">duong.thanh.long92@email.com</t>
  </si>
  <si>
    <t xml:space="preserve">0938488568</t>
  </si>
  <si>
    <t xml:space="preserve">Nguyễn Gia Bình</t>
  </si>
  <si>
    <t xml:space="preserve">nguyen.gia.binh93@email.com</t>
  </si>
  <si>
    <t xml:space="preserve">0972761514</t>
  </si>
  <si>
    <t xml:space="preserve">Dương Văn Dũng</t>
  </si>
  <si>
    <t xml:space="preserve">duong.van.dung94@email.com</t>
  </si>
  <si>
    <t xml:space="preserve">0908752623</t>
  </si>
  <si>
    <t xml:space="preserve">Đặng Anh Nam</t>
  </si>
  <si>
    <t xml:space="preserve">dang.anh.nam95@email.com</t>
  </si>
  <si>
    <t xml:space="preserve">0931665398</t>
  </si>
  <si>
    <t xml:space="preserve">Lý Hữu Huy</t>
  </si>
  <si>
    <t xml:space="preserve">ly.huu.huy96@email.com</t>
  </si>
  <si>
    <t xml:space="preserve">0958134217</t>
  </si>
  <si>
    <t xml:space="preserve">Bùi Ngọc Bình</t>
  </si>
  <si>
    <t xml:space="preserve">bui.ngoc.binh97@email.com</t>
  </si>
  <si>
    <t xml:space="preserve">0944104751</t>
  </si>
  <si>
    <t xml:space="preserve">Trần Quốc Dũng</t>
  </si>
  <si>
    <t xml:space="preserve">tran.quoc.dung98@email.com</t>
  </si>
  <si>
    <t xml:space="preserve">0908235953</t>
  </si>
  <si>
    <t xml:space="preserve">Ngô Quốc Hạnh</t>
  </si>
  <si>
    <t xml:space="preserve">ngo.quoc.hanh99@email.com</t>
  </si>
  <si>
    <t xml:space="preserve">0974781824</t>
  </si>
  <si>
    <t xml:space="preserve">Vũ Đức Hạnh</t>
  </si>
  <si>
    <t xml:space="preserve">vu.duc.hanh100@email.com</t>
  </si>
  <si>
    <t xml:space="preserve">0980801000</t>
  </si>
  <si>
    <t xml:space="preserve">Nguyễn Gia Dũng</t>
  </si>
  <si>
    <t xml:space="preserve">nguyen.gia.dung101@email.com</t>
  </si>
  <si>
    <t xml:space="preserve">0970392733</t>
  </si>
  <si>
    <t xml:space="preserve">do.ngoc.nga102@email.com</t>
  </si>
  <si>
    <t xml:space="preserve">0981661146</t>
  </si>
  <si>
    <t xml:space="preserve">Phạm Văn Bình</t>
  </si>
  <si>
    <t xml:space="preserve">pham.van.binh103@email.com</t>
  </si>
  <si>
    <t xml:space="preserve">0940300426</t>
  </si>
  <si>
    <t xml:space="preserve">Vũ Thanh Hà</t>
  </si>
  <si>
    <t xml:space="preserve">vu.thanh.ha104@email.com</t>
  </si>
  <si>
    <t xml:space="preserve">0993012670</t>
  </si>
  <si>
    <t xml:space="preserve">Bùi Ngọc An</t>
  </si>
  <si>
    <t xml:space="preserve">bui.ngoc.an105@email.com</t>
  </si>
  <si>
    <t xml:space="preserve">0957929923</t>
  </si>
  <si>
    <t xml:space="preserve">Lê Ngọc Vy</t>
  </si>
  <si>
    <t xml:space="preserve">le.ngoc.vy106@email.com</t>
  </si>
  <si>
    <t xml:space="preserve">0918615812</t>
  </si>
  <si>
    <t xml:space="preserve">Nguyễn Đức Phúc</t>
  </si>
  <si>
    <t xml:space="preserve">nguyen.duc.phuc107@email.com</t>
  </si>
  <si>
    <t xml:space="preserve">0955485066</t>
  </si>
  <si>
    <t xml:space="preserve">Đỗ Minh Linh</t>
  </si>
  <si>
    <t xml:space="preserve">do.minh.linh108@email.com</t>
  </si>
  <si>
    <t xml:space="preserve">0997348124</t>
  </si>
  <si>
    <t xml:space="preserve">Lý Đức Mai</t>
  </si>
  <si>
    <t xml:space="preserve">ly.duc.mai109@email.com</t>
  </si>
  <si>
    <t xml:space="preserve">0928290920</t>
  </si>
  <si>
    <t xml:space="preserve">duong.minh.an110@email.com</t>
  </si>
  <si>
    <t xml:space="preserve">0942628370</t>
  </si>
  <si>
    <t xml:space="preserve">Dương Thị Sơn</t>
  </si>
  <si>
    <t xml:space="preserve">duong.thi.son111@email.com</t>
  </si>
  <si>
    <t xml:space="preserve">0989870415</t>
  </si>
  <si>
    <t xml:space="preserve">Lý Minh Linh</t>
  </si>
  <si>
    <t xml:space="preserve">ly.minh.linh112@email.com</t>
  </si>
  <si>
    <t xml:space="preserve">0926956378</t>
  </si>
  <si>
    <t xml:space="preserve">Lê Thị Yến</t>
  </si>
  <si>
    <t xml:space="preserve">le.thi.yen113@email.com</t>
  </si>
  <si>
    <t xml:space="preserve">0996121385</t>
  </si>
  <si>
    <t xml:space="preserve">Đặng Gia Mai</t>
  </si>
  <si>
    <t xml:space="preserve">dang.gia.mai114@email.com</t>
  </si>
  <si>
    <t xml:space="preserve">0995343274</t>
  </si>
  <si>
    <t xml:space="preserve">Lý Thanh Dũng</t>
  </si>
  <si>
    <t xml:space="preserve">ly.thanh.dung115@email.com</t>
  </si>
  <si>
    <t xml:space="preserve">0900637171</t>
  </si>
  <si>
    <t xml:space="preserve">Trần Đức Linh</t>
  </si>
  <si>
    <t xml:space="preserve">tran.duc.linh116@email.com</t>
  </si>
  <si>
    <t xml:space="preserve">0985098680</t>
  </si>
  <si>
    <t xml:space="preserve">Phạm Văn Giang</t>
  </si>
  <si>
    <t xml:space="preserve">pham.van.giang117@email.com</t>
  </si>
  <si>
    <t xml:space="preserve">0925021520</t>
  </si>
  <si>
    <t xml:space="preserve">Dương Quốc Dũng</t>
  </si>
  <si>
    <t xml:space="preserve">duong.quoc.dung118@email.com</t>
  </si>
  <si>
    <t xml:space="preserve">0983419082</t>
  </si>
  <si>
    <t xml:space="preserve">Phạm Thanh Giang</t>
  </si>
  <si>
    <t xml:space="preserve">pham.thanh.giang119@email.com</t>
  </si>
  <si>
    <t xml:space="preserve">0912223863</t>
  </si>
  <si>
    <t xml:space="preserve">Lý Văn Long</t>
  </si>
  <si>
    <t xml:space="preserve">ly.van.long120@email.com</t>
  </si>
  <si>
    <t xml:space="preserve">0942468542</t>
  </si>
  <si>
    <t xml:space="preserve"> Dương Minh Trang  </t>
  </si>
  <si>
    <t xml:space="preserve">duong.minh.trang121@email.com</t>
  </si>
  <si>
    <t xml:space="preserve">0974476604</t>
  </si>
  <si>
    <t xml:space="preserve">Vũ Thanh An</t>
  </si>
  <si>
    <t xml:space="preserve">vu.thanh.an122@email.com</t>
  </si>
  <si>
    <t xml:space="preserve">0949657096</t>
  </si>
  <si>
    <t xml:space="preserve">Dương Gia Hà</t>
  </si>
  <si>
    <t xml:space="preserve">duong.gia.ha123@email.com</t>
  </si>
  <si>
    <t xml:space="preserve">0968771099</t>
  </si>
  <si>
    <t xml:space="preserve">Nguyễn Hữu Nga</t>
  </si>
  <si>
    <t xml:space="preserve">nguyen.huu.nga124@email.com</t>
  </si>
  <si>
    <t xml:space="preserve">0920568326</t>
  </si>
  <si>
    <t xml:space="preserve">Đặng Thanh Cường</t>
  </si>
  <si>
    <t xml:space="preserve">dang.thanh.cuong125@email.com</t>
  </si>
  <si>
    <t xml:space="preserve">0964807882</t>
  </si>
  <si>
    <t xml:space="preserve">Lê Văn Thảo</t>
  </si>
  <si>
    <t xml:space="preserve">le.van.thao126@email.com</t>
  </si>
  <si>
    <t xml:space="preserve">0987695397</t>
  </si>
  <si>
    <t xml:space="preserve">Lê Anh Giang</t>
  </si>
  <si>
    <t xml:space="preserve">le.anh.giang127@email.com</t>
  </si>
  <si>
    <t xml:space="preserve">0920701692</t>
  </si>
  <si>
    <t xml:space="preserve">Nguyễn Đức Huy</t>
  </si>
  <si>
    <t xml:space="preserve">nguyen.duc.huy128@email.com</t>
  </si>
  <si>
    <t xml:space="preserve">0924431774</t>
  </si>
  <si>
    <t xml:space="preserve">Đặng Ngọc Nga</t>
  </si>
  <si>
    <t xml:space="preserve">dang.ngoc.nga129@email.com</t>
  </si>
  <si>
    <t xml:space="preserve">0979214153</t>
  </si>
  <si>
    <t xml:space="preserve">Lê Thị Sơn</t>
  </si>
  <si>
    <t xml:space="preserve">le.thi.son130@email.com</t>
  </si>
  <si>
    <t xml:space="preserve">0999033212</t>
  </si>
  <si>
    <t xml:space="preserve">Lê Ngọc Cường</t>
  </si>
  <si>
    <t xml:space="preserve">le.ngoc.cuong131@email.com</t>
  </si>
  <si>
    <t xml:space="preserve">0938312947</t>
  </si>
  <si>
    <t xml:space="preserve">Vũ Minh Trang</t>
  </si>
  <si>
    <t xml:space="preserve">vu.minh.trang132@email.com</t>
  </si>
  <si>
    <t xml:space="preserve">0920742565</t>
  </si>
  <si>
    <t xml:space="preserve">Phạm Quốc Linh</t>
  </si>
  <si>
    <t xml:space="preserve">pham.quoc.linh133@email.com</t>
  </si>
  <si>
    <t xml:space="preserve">0926064501</t>
  </si>
  <si>
    <t xml:space="preserve">Ngô Đức Long</t>
  </si>
  <si>
    <t xml:space="preserve">ngo.duc.long134@email.com</t>
  </si>
  <si>
    <t xml:space="preserve">0984500748</t>
  </si>
  <si>
    <t xml:space="preserve">Phạm Thị Long</t>
  </si>
  <si>
    <t xml:space="preserve">pham.thi.long135@email.com</t>
  </si>
  <si>
    <t xml:space="preserve">0960408378</t>
  </si>
  <si>
    <t xml:space="preserve">Trần Văn Dũng</t>
  </si>
  <si>
    <t xml:space="preserve">tran.van.dung136@email.com</t>
  </si>
  <si>
    <t xml:space="preserve">0995444615</t>
  </si>
  <si>
    <t xml:space="preserve">Dương Minh Hạnh</t>
  </si>
  <si>
    <t xml:space="preserve">duong.minh.hanh137@email.com</t>
  </si>
  <si>
    <t xml:space="preserve">0910254909</t>
  </si>
  <si>
    <t xml:space="preserve">Lý Văn Lan</t>
  </si>
  <si>
    <t xml:space="preserve">ly.van.lan138@email.com</t>
  </si>
  <si>
    <t xml:space="preserve">0999531423</t>
  </si>
  <si>
    <t xml:space="preserve">Ngô Thanh Dũng</t>
  </si>
  <si>
    <t xml:space="preserve">ngo.thanh.dung139@email.com</t>
  </si>
  <si>
    <t xml:space="preserve">0968542474</t>
  </si>
  <si>
    <t xml:space="preserve">Đỗ Văn Huy</t>
  </si>
  <si>
    <t xml:space="preserve">do.van.huy140@email.com</t>
  </si>
  <si>
    <t xml:space="preserve">0965585625</t>
  </si>
  <si>
    <t xml:space="preserve">Đặng Hữu Khánh</t>
  </si>
  <si>
    <t xml:space="preserve">dang.huu.khanh141@email.com</t>
  </si>
  <si>
    <t xml:space="preserve">0905613575</t>
  </si>
  <si>
    <t xml:space="preserve">Dương Gia Sơn</t>
  </si>
  <si>
    <t xml:space="preserve">duong.gia.son142@email.com</t>
  </si>
  <si>
    <t xml:space="preserve">0914331791</t>
  </si>
  <si>
    <t xml:space="preserve">Đặng Hữu Vy</t>
  </si>
  <si>
    <t xml:space="preserve">dang.huu.vy143@email.com</t>
  </si>
  <si>
    <t xml:space="preserve">0988691804</t>
  </si>
  <si>
    <t xml:space="preserve">Trần Hữu Tuấn</t>
  </si>
  <si>
    <t xml:space="preserve">tran.huu.tuan144@email.com</t>
  </si>
  <si>
    <t xml:space="preserve">0940695631</t>
  </si>
  <si>
    <t xml:space="preserve">Trần Anh Bình</t>
  </si>
  <si>
    <t xml:space="preserve">tran.anh.binh145@email.com</t>
  </si>
  <si>
    <t xml:space="preserve">0975678172</t>
  </si>
  <si>
    <t xml:space="preserve">Lê Văn Hà</t>
  </si>
  <si>
    <t xml:space="preserve">le.van.ha146@email.com</t>
  </si>
  <si>
    <t xml:space="preserve">0984852580</t>
  </si>
  <si>
    <t xml:space="preserve">Bùi Anh Cường</t>
  </si>
  <si>
    <t xml:space="preserve">bui.anh.cuong147@email.com</t>
  </si>
  <si>
    <t xml:space="preserve">0976887849</t>
  </si>
  <si>
    <t xml:space="preserve">duong.thanh.linh148@email.com</t>
  </si>
  <si>
    <t xml:space="preserve">0975660554</t>
  </si>
  <si>
    <t xml:space="preserve">Lý Ngọc Quân</t>
  </si>
  <si>
    <t xml:space="preserve">ly.ngoc.quan149@email.com</t>
  </si>
  <si>
    <t xml:space="preserve">0953162448</t>
  </si>
  <si>
    <t xml:space="preserve">Đặng Quốc Bình</t>
  </si>
  <si>
    <t xml:space="preserve">dang.quoc.binh150@email.com</t>
  </si>
  <si>
    <t xml:space="preserve">0932019172</t>
  </si>
  <si>
    <t xml:space="preserve">do.van.phuc151@email.com</t>
  </si>
  <si>
    <t xml:space="preserve">0977854579</t>
  </si>
  <si>
    <t xml:space="preserve">Ngô Hữu Huy</t>
  </si>
  <si>
    <t xml:space="preserve">ngo.huu.huy152@email.com</t>
  </si>
  <si>
    <t xml:space="preserve">0983271745</t>
  </si>
  <si>
    <t xml:space="preserve">Trần Thanh Thảo</t>
  </si>
  <si>
    <t xml:space="preserve">tran.thanh.thao153@email.com</t>
  </si>
  <si>
    <t xml:space="preserve">0937873667</t>
  </si>
  <si>
    <t xml:space="preserve">Bùi Hữu Giang</t>
  </si>
  <si>
    <t xml:space="preserve">bui.huu.giang154@email.com</t>
  </si>
  <si>
    <t xml:space="preserve">0931245287</t>
  </si>
  <si>
    <t xml:space="preserve">Nguyễn Quốc Hùng</t>
  </si>
  <si>
    <t xml:space="preserve">nguyen.quoc.hung155@email.com</t>
  </si>
  <si>
    <t xml:space="preserve">0909642824</t>
  </si>
  <si>
    <t xml:space="preserve">Ngô Thị Quân</t>
  </si>
  <si>
    <t xml:space="preserve">ngo.thi.quan156@email.com</t>
  </si>
  <si>
    <t xml:space="preserve">0938149574</t>
  </si>
  <si>
    <t xml:space="preserve">le.ngoc.cuong157@email.com</t>
  </si>
  <si>
    <t xml:space="preserve">0925204265</t>
  </si>
  <si>
    <t xml:space="preserve">Ngô Thanh Sơn</t>
  </si>
  <si>
    <t xml:space="preserve">ngo.thanh.son158@email.com</t>
  </si>
  <si>
    <t xml:space="preserve">0935902710</t>
  </si>
  <si>
    <t xml:space="preserve">Đặng Văn Linh</t>
  </si>
  <si>
    <t xml:space="preserve">dang.van.linh159@email.com</t>
  </si>
  <si>
    <t xml:space="preserve">0951830007</t>
  </si>
  <si>
    <t xml:space="preserve">Bùi Minh Yến</t>
  </si>
  <si>
    <t xml:space="preserve">bui.minh.yen160@email.com</t>
  </si>
  <si>
    <t xml:space="preserve">0923488830</t>
  </si>
  <si>
    <t xml:space="preserve">Đỗ Gia Quân </t>
  </si>
  <si>
    <t xml:space="preserve">do.gia.quan161@email.com</t>
  </si>
  <si>
    <t xml:space="preserve">0923384305</t>
  </si>
  <si>
    <t xml:space="preserve">Ngô Minh Giang</t>
  </si>
  <si>
    <t xml:space="preserve">ngo.minh.giang162@email.com</t>
  </si>
  <si>
    <t xml:space="preserve">0975535483</t>
  </si>
  <si>
    <t xml:space="preserve">Ngô Gia Linh</t>
  </si>
  <si>
    <t xml:space="preserve">ngo.gia.linh163@email.com</t>
  </si>
  <si>
    <t xml:space="preserve">0959392981</t>
  </si>
  <si>
    <t xml:space="preserve">Phạm Anh Nga</t>
  </si>
  <si>
    <t xml:space="preserve">pham.anh.nga164@email.com</t>
  </si>
  <si>
    <t xml:space="preserve">0930375268</t>
  </si>
  <si>
    <t xml:space="preserve">Trần Anh Hải</t>
  </si>
  <si>
    <t xml:space="preserve">tran.anh.hai165@email.com</t>
  </si>
  <si>
    <t xml:space="preserve">0976125398</t>
  </si>
  <si>
    <t xml:space="preserve">Bùi Văn Huy</t>
  </si>
  <si>
    <t xml:space="preserve">bui.van.huy166@email.com</t>
  </si>
  <si>
    <t xml:space="preserve">0973080908</t>
  </si>
  <si>
    <t xml:space="preserve">Hoàng Thanh Hà</t>
  </si>
  <si>
    <t xml:space="preserve">hoang.thanh.ha167@email.com</t>
  </si>
  <si>
    <t xml:space="preserve">0974368043</t>
  </si>
  <si>
    <t xml:space="preserve">Hoàng Minh Hà</t>
  </si>
  <si>
    <t xml:space="preserve">hoang.minh.ha168@email.com</t>
  </si>
  <si>
    <t xml:space="preserve">0951521657</t>
  </si>
  <si>
    <t xml:space="preserve">Đặng Văn Long</t>
  </si>
  <si>
    <t xml:space="preserve">dang.van.long169@email.com</t>
  </si>
  <si>
    <t xml:space="preserve">0981885893</t>
  </si>
  <si>
    <t xml:space="preserve">nguyen.gia.dung170@email.com</t>
  </si>
  <si>
    <t xml:space="preserve">0931757060</t>
  </si>
  <si>
    <t xml:space="preserve">Hoàng Ngọc Trang</t>
  </si>
  <si>
    <t xml:space="preserve">hoang.ngoc.trang171@email.com</t>
  </si>
  <si>
    <t xml:space="preserve">0978376891</t>
  </si>
  <si>
    <t xml:space="preserve">Hoàng Minh Hải</t>
  </si>
  <si>
    <t xml:space="preserve">hoang.minh.hai172@email.com</t>
  </si>
  <si>
    <t xml:space="preserve">0965966026</t>
  </si>
  <si>
    <t xml:space="preserve">Hoàng Thị Linh</t>
  </si>
  <si>
    <t xml:space="preserve">hoang.thi.linh173@email.com</t>
  </si>
  <si>
    <t xml:space="preserve">0947733374</t>
  </si>
  <si>
    <t xml:space="preserve">Phạm Văn Lan</t>
  </si>
  <si>
    <t xml:space="preserve">pham.van.lan174@email.com</t>
  </si>
  <si>
    <t xml:space="preserve">0946181183</t>
  </si>
  <si>
    <t xml:space="preserve">Nguyễn Quốc Thảo</t>
  </si>
  <si>
    <t xml:space="preserve">nguyen.quoc.thao175@email.com</t>
  </si>
  <si>
    <t xml:space="preserve">0915321687</t>
  </si>
  <si>
    <t xml:space="preserve">Phạm Thị Nga</t>
  </si>
  <si>
    <t xml:space="preserve">pham.thi.nga176@email.com</t>
  </si>
  <si>
    <t xml:space="preserve">0936751272</t>
  </si>
  <si>
    <t xml:space="preserve">Bùi Minh Huy</t>
  </si>
  <si>
    <t xml:space="preserve">bui.minh.huy177@email.com</t>
  </si>
  <si>
    <t xml:space="preserve">0960012026</t>
  </si>
  <si>
    <t xml:space="preserve">Đặng Đức Nam</t>
  </si>
  <si>
    <t xml:space="preserve">dang.duc.nam178@email.com</t>
  </si>
  <si>
    <t xml:space="preserve">0997169731</t>
  </si>
  <si>
    <t xml:space="preserve">Nguyễn Gia Trang</t>
  </si>
  <si>
    <t xml:space="preserve">nguyen.gia.trang179@email.com</t>
  </si>
  <si>
    <t xml:space="preserve">0937974962</t>
  </si>
  <si>
    <t xml:space="preserve">Đỗ Quốc Tuấn</t>
  </si>
  <si>
    <t xml:space="preserve">do.quoc.tuan180@email.com</t>
  </si>
  <si>
    <t xml:space="preserve">0980782695</t>
  </si>
  <si>
    <t xml:space="preserve">Hoàng Văn Giang</t>
  </si>
  <si>
    <t xml:space="preserve">hoang.van.giang181@email.com</t>
  </si>
  <si>
    <t xml:space="preserve">0952196076</t>
  </si>
  <si>
    <t xml:space="preserve">Ngô Văn Lan</t>
  </si>
  <si>
    <t xml:space="preserve">ngo.van.lan182@email.com</t>
  </si>
  <si>
    <t xml:space="preserve">0970876137</t>
  </si>
  <si>
    <t xml:space="preserve">Đặng Minh Vy</t>
  </si>
  <si>
    <t xml:space="preserve">dang.minh.vy183@email.com</t>
  </si>
  <si>
    <t xml:space="preserve">0926249217</t>
  </si>
  <si>
    <t xml:space="preserve">Ngô Minh Sơn</t>
  </si>
  <si>
    <t xml:space="preserve">ngo.minh.son184@email.com</t>
  </si>
  <si>
    <t xml:space="preserve">0945222504</t>
  </si>
  <si>
    <t xml:space="preserve">Phạm Quốc Hải</t>
  </si>
  <si>
    <t xml:space="preserve">pham.quoc.hai185@email.com</t>
  </si>
  <si>
    <t xml:space="preserve">0981721683</t>
  </si>
  <si>
    <t xml:space="preserve">Lý Đức Hà</t>
  </si>
  <si>
    <t xml:space="preserve">ly.duc.ha186@email.com</t>
  </si>
  <si>
    <t xml:space="preserve">0910481035</t>
  </si>
  <si>
    <t xml:space="preserve">Vũ Văn Hà</t>
  </si>
  <si>
    <t xml:space="preserve">vu.van.ha187@email.com</t>
  </si>
  <si>
    <t xml:space="preserve">0997757488</t>
  </si>
  <si>
    <t xml:space="preserve">Lê Hữu Giang</t>
  </si>
  <si>
    <t xml:space="preserve">le.huu.giang188@email.com</t>
  </si>
  <si>
    <t xml:space="preserve">0909306547</t>
  </si>
  <si>
    <t xml:space="preserve">Đỗ Ngọc Tuấn</t>
  </si>
  <si>
    <t xml:space="preserve">do.ngoc.tuan189@email.com</t>
  </si>
  <si>
    <t xml:space="preserve">0920453316</t>
  </si>
  <si>
    <t xml:space="preserve">Phạm Hữu Nga</t>
  </si>
  <si>
    <t xml:space="preserve">pham.huu.nga190@email.com</t>
  </si>
  <si>
    <t xml:space="preserve">0960012120</t>
  </si>
  <si>
    <t xml:space="preserve">duong.thanh.linh191@email.com</t>
  </si>
  <si>
    <t xml:space="preserve">0993282507</t>
  </si>
  <si>
    <t xml:space="preserve">Đặng Thị Giang</t>
  </si>
  <si>
    <t xml:space="preserve">dang.thi.giang192@email.com</t>
  </si>
  <si>
    <t xml:space="preserve">0965249138</t>
  </si>
  <si>
    <t xml:space="preserve">le.van.hai193@email.com</t>
  </si>
  <si>
    <t xml:space="preserve">0925883271</t>
  </si>
  <si>
    <t xml:space="preserve">Đỗ Thanh Dũng</t>
  </si>
  <si>
    <t xml:space="preserve">do.thanh.dung194@email.com</t>
  </si>
  <si>
    <t xml:space="preserve">0900294924</t>
  </si>
  <si>
    <t xml:space="preserve">Vũ Ngọc Huy</t>
  </si>
  <si>
    <t xml:space="preserve">vu.ngoc.huy195@email.com</t>
  </si>
  <si>
    <t xml:space="preserve">0972108357</t>
  </si>
  <si>
    <t xml:space="preserve">Lý Thanh Hải</t>
  </si>
  <si>
    <t xml:space="preserve">ly.thanh.hai196@email.com</t>
  </si>
  <si>
    <t xml:space="preserve">0909552111</t>
  </si>
  <si>
    <t xml:space="preserve">Vũ Quốc Bình</t>
  </si>
  <si>
    <t xml:space="preserve">vu.quoc.binh197@email.com</t>
  </si>
  <si>
    <t xml:space="preserve">0915672161</t>
  </si>
  <si>
    <t xml:space="preserve">Đặng Anh Khánh</t>
  </si>
  <si>
    <t xml:space="preserve">dang.anh.khanh198@email.com</t>
  </si>
  <si>
    <t xml:space="preserve">0945584195</t>
  </si>
  <si>
    <t xml:space="preserve">Đỗ Hữu Huy</t>
  </si>
  <si>
    <t xml:space="preserve">do.huu.huy199@email.com</t>
  </si>
  <si>
    <t xml:space="preserve">0994394911</t>
  </si>
  <si>
    <t xml:space="preserve">Hoàng Gia Thảo</t>
  </si>
  <si>
    <t xml:space="preserve">hoang.gia.thao200@email.com</t>
  </si>
  <si>
    <t xml:space="preserve">0920404918</t>
  </si>
  <si>
    <t xml:space="preserve">Thống kê theo nguồn đăng ký</t>
  </si>
  <si>
    <t xml:space="preserve">Tính bằng công thức COUNTIF từ sheet Danh sách</t>
  </si>
  <si>
    <t xml:space="preserve">Số lượng</t>
  </si>
  <si>
    <t xml:space="preserve">Tỷ lệ</t>
  </si>
  <si>
    <t xml:space="preserve">Tổng cộng</t>
  </si>
  <si>
    <t xml:space="preserve">Thống kê theo khóa học quan tâm</t>
  </si>
  <si>
    <t xml:space="preserve">COUNTIF theo cột Khóa học quan tâm</t>
  </si>
  <si>
    <t xml:space="preserve">Khóa học</t>
  </si>
  <si>
    <t xml:space="preserve">Số học viên</t>
  </si>
  <si>
    <t xml:space="preserve">Thống kê theo trạng thái và chuyên cần</t>
  </si>
  <si>
    <t xml:space="preserve">Chỉ số chuyên cần</t>
  </si>
  <si>
    <t xml:space="preserve">Điểm chuyên cần trung bình</t>
  </si>
  <si>
    <t xml:space="preserve">Số SV khoa CNTT</t>
  </si>
  <si>
    <t xml:space="preserve">CNTT có điểm chuyên cần &lt; 7</t>
  </si>
  <si>
    <t xml:space="preserve">Kiểm thử: lọc theo tên không ra kết quả → dùng hàm TRIM</t>
  </si>
  <si>
    <t xml:space="preserve">Họ và tên (gốc)</t>
  </si>
  <si>
    <t xml:space="preserve">Độ dài gốc (LEN)</t>
  </si>
  <si>
    <t xml:space="preserve">Họ và tên sau TRIM</t>
  </si>
  <si>
    <t xml:space="preserve">Độ dài sau TRIM</t>
  </si>
  <si>
    <t xml:space="preserve">Có thừa khoảng trắng?</t>
  </si>
  <si>
    <t xml:space="preserve">Giải thích:</t>
  </si>
  <si>
    <t xml:space="preserve">- Gõ tên vào ô Search của AutoFilter mà không ra dù nhìn thấy tên đó, thường do ô thừa dấu cách ở đầu/cuối hoặc 2 dấu cách liền nhau.</t>
  </si>
  <si>
    <t xml:space="preserve">- LEN gốc lớn hơn LEN sau TRIM → ô đó thừa khoảng trắng.</t>
  </si>
  <si>
    <t xml:space="preserve">- Cách xử lý: tạo cột phụ =TRIM(ô tên), copy → Paste Special → Values đè lại cột Họ và tên, rồi xóa cột phụ.</t>
  </si>
  <si>
    <t xml:space="preserve">- Nếu vẫn lỗi (dấu cách CHAR(160) khi copy từ web): =TRIM(SUBSTITUTE(A4,CHAR(160)," "))</t>
  </si>
  <si>
    <t xml:space="preserve">DANH SÁCH HỌC VIÊN ĐĂNG KÝ – PTIT-Learning (tổng hợp từ nhiều nguồn)</t>
  </si>
  <si>
    <t xml:space="preserve">Cập nhật: 27/10/2026. Dữ liệu mẫu do sinh viên tự tạo để làm bài.</t>
  </si>
  <si>
    <t xml:space="preserve">Cách lọc bằng AutoFilter (Ctrl + Shift + L)</t>
  </si>
  <si>
    <t xml:space="preserve">1. Mở sheet Danh sách, bấm vào 1 ô bất kỳ trong bảng.</t>
  </si>
  <si>
    <t xml:space="preserve">2. Nhấn Ctrl + Shift + L để bật/tắt AutoFilter.</t>
  </si>
  <si>
    <t xml:space="preserve">3. Cột Khoa: bỏ chọn Select All, tick CNTT → OK.</t>
  </si>
  <si>
    <t xml:space="preserve">4. Cột Điểm chuyên cần: Number Filters → Less Than... → nhập 7 → OK.</t>
  </si>
  <si>
    <t xml:space="preserve">5. Kết quả: sinh viên khoa CNTT có điểm chuyên cần dưới 7 (hai cột khác nhau nên hiểu là AND). Xem lại toàn bộ: Data → Clear.</t>
  </si>
  <si>
    <t xml:space="preserve">Ràng buộc đã tuân thủ</t>
  </si>
  <si>
    <t xml:space="preserve">- Hàng 1 của sheet Danh sách là Header Row duy nhất (tiêu đề bảng đặt ở sheet này, không chèn dòng tiêu đề phía trên).</t>
  </si>
  <si>
    <t xml:space="preserve">- 200 dòng liên tục, không có hàng tổng cộng, dòng trống hay ô gộp trong dữ liệu. Các bảng tổng cộng nằm ở sheet riêng.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</si>
</sst>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"/>
    <numFmt numFmtId="167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10"/>
      <color rgb="FFC55A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ED7D31"/>
      <rgbColor rgb="FF8064A2"/>
      <rgbColor rgb="FF969696"/>
      <rgbColor rgb="FF1F3864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Thống kê theo nguồn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Nguồn!B4</c:f>
              <c:strCache>
                <c:ptCount val="1"/>
                <c:pt idx="0">
                  <c:v>Số lượng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Nguồn!$A$5:$A$8</c:f>
              <c:strCache>
                <c:ptCount val="4"/>
                <c:pt idx="0">
                  <c:v>Website</c:v>
                </c:pt>
                <c:pt idx="1">
                  <c:v>Facebook Ads</c:v>
                </c:pt>
                <c:pt idx="2">
                  <c:v>Google Form</c:v>
                </c:pt>
                <c:pt idx="3">
                  <c:v>Zalo OA</c:v>
                </c:pt>
              </c:strCache>
            </c:strRef>
          </c:cat>
          <c:val>
            <c:numRef>
              <c:f>Nguồn!$B$5:$B$8</c:f>
              <c:numCache>
                <c:formatCode>General</c:formatCode>
                <c:ptCount val="4"/>
                <c:pt idx="0">
                  <c:v>68</c:v>
                </c:pt>
                <c:pt idx="1">
                  <c:v>47</c:v>
                </c:pt>
                <c:pt idx="2">
                  <c:v>48</c:v>
                </c:pt>
                <c:pt idx="3">
                  <c:v>37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Số học viên theo khóa học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'Khóa học'!B4</c:f>
              <c:strCache>
                <c:ptCount val="1"/>
                <c:pt idx="0">
                  <c:v>Số học viên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'Khóa học'!$A$5:$A$12</c:f>
              <c:strCache>
                <c:ptCount val="8"/>
                <c:pt idx="0">
                  <c:v>Lập trình Python</c:v>
                </c:pt>
                <c:pt idx="1">
                  <c:v>Thiết kế UI/UX</c:v>
                </c:pt>
                <c:pt idx="2">
                  <c:v>Data Science</c:v>
                </c:pt>
                <c:pt idx="3">
                  <c:v>Marketing Digital</c:v>
                </c:pt>
                <c:pt idx="4">
                  <c:v>Excel nâng cao</c:v>
                </c:pt>
                <c:pt idx="5">
                  <c:v>Lập trình Web</c:v>
                </c:pt>
                <c:pt idx="6">
                  <c:v>Tiếng Anh giao tiếp</c:v>
                </c:pt>
                <c:pt idx="7">
                  <c:v>An toàn thông tin</c:v>
                </c:pt>
              </c:strCache>
            </c:strRef>
          </c:cat>
          <c:val>
            <c:numRef>
              <c:f>'Khóa học'!$B$5:$B$12</c:f>
              <c:numCache>
                <c:formatCode>General</c:formatCode>
                <c:ptCount val="8"/>
                <c:pt idx="0">
                  <c:v>16</c:v>
                </c:pt>
                <c:pt idx="1">
                  <c:v>28</c:v>
                </c:pt>
                <c:pt idx="2">
                  <c:v>23</c:v>
                </c:pt>
                <c:pt idx="3">
                  <c:v>22</c:v>
                </c:pt>
                <c:pt idx="4">
                  <c:v>25</c:v>
                </c:pt>
                <c:pt idx="5">
                  <c:v>19</c:v>
                </c:pt>
                <c:pt idx="6">
                  <c:v>37</c:v>
                </c:pt>
                <c:pt idx="7">
                  <c:v>30</c:v>
                </c:pt>
              </c:numCache>
            </c:numRef>
          </c:val>
        </c:ser>
        <c:gapWidth val="150"/>
        <c:overlap val="0"/>
        <c:axId val="86376480"/>
        <c:axId val="71065788"/>
      </c:barChart>
      <c:catAx>
        <c:axId val="8637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065788"/>
        <c:crosses val="autoZero"/>
        <c:auto val="1"/>
        <c:lblAlgn val="ctr"/>
        <c:lblOffset val="100"/>
        <c:noMultiLvlLbl val="0"/>
      </c:catAx>
      <c:valAx>
        <c:axId val="710657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764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Thống kê theo trạng thái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'Thống kê'!B4</c:f>
              <c:strCache>
                <c:ptCount val="1"/>
                <c:pt idx="0">
                  <c:v>Số lượng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'Thống kê'!$A$5:$A$6</c:f>
              <c:strCache>
                <c:ptCount val="2"/>
                <c:pt idx="0">
                  <c:v>Đã xác nhận</c:v>
                </c:pt>
                <c:pt idx="1">
                  <c:v>Chờ xác nhận</c:v>
                </c:pt>
              </c:strCache>
            </c:strRef>
          </c:cat>
          <c:val>
            <c:numRef>
              <c:f>'Thống kê'!$B$5:$B$6</c:f>
              <c:numCache>
                <c:formatCode>General</c:formatCode>
                <c:ptCount val="2"/>
                <c:pt idx="0">
                  <c:v>148</c:v>
                </c:pt>
                <c:pt idx="1">
                  <c:v>52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131040</xdr:rowOff>
    </xdr:from>
    <xdr:to>
      <xdr:col>11</xdr:col>
      <xdr:colOff>39240</xdr:colOff>
      <xdr:row>17</xdr:row>
      <xdr:rowOff>153000</xdr:rowOff>
    </xdr:to>
    <xdr:graphicFrame>
      <xdr:nvGraphicFramePr>
        <xdr:cNvPr id="0" name="Chart 1"/>
        <xdr:cNvGraphicFramePr/>
      </xdr:nvGraphicFramePr>
      <xdr:xfrm>
        <a:off x="3853800" y="571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131040</xdr:rowOff>
    </xdr:from>
    <xdr:to>
      <xdr:col>12</xdr:col>
      <xdr:colOff>255960</xdr:colOff>
      <xdr:row>17</xdr:row>
      <xdr:rowOff>153000</xdr:rowOff>
    </xdr:to>
    <xdr:graphicFrame>
      <xdr:nvGraphicFramePr>
        <xdr:cNvPr id="1" name="Chart 1"/>
        <xdr:cNvGraphicFramePr/>
      </xdr:nvGraphicFramePr>
      <xdr:xfrm>
        <a:off x="343080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131040</xdr:rowOff>
    </xdr:from>
    <xdr:to>
      <xdr:col>10</xdr:col>
      <xdr:colOff>290520</xdr:colOff>
      <xdr:row>17</xdr:row>
      <xdr:rowOff>153000</xdr:rowOff>
    </xdr:to>
    <xdr:graphicFrame>
      <xdr:nvGraphicFramePr>
        <xdr:cNvPr id="2" name="Chart 1"/>
        <xdr:cNvGraphicFramePr/>
      </xdr:nvGraphicFramePr>
      <xdr:xfrm>
        <a:off x="4417560" y="57168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9" min="8" style="0" width="14"/>
    <col collapsed="false" customWidth="true" hidden="false" outlineLevel="0" max="10" min="10" style="0" width="1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true" customHeight="false" outlineLevel="0" collapsed="false">
      <c r="A2" s="2" t="n">
        <v>1</v>
      </c>
      <c r="B2" s="3" t="s">
        <v>10</v>
      </c>
      <c r="C2" s="3" t="s">
        <v>11</v>
      </c>
      <c r="D2" s="2" t="s">
        <v>12</v>
      </c>
      <c r="E2" s="2" t="s">
        <v>13</v>
      </c>
      <c r="F2" s="3" t="s">
        <v>14</v>
      </c>
      <c r="G2" s="3" t="s">
        <v>15</v>
      </c>
      <c r="H2" s="4" t="n">
        <v>46313</v>
      </c>
      <c r="I2" s="5" t="n">
        <v>8.4</v>
      </c>
      <c r="J2" s="2" t="s">
        <v>16</v>
      </c>
    </row>
    <row r="3" customFormat="false" ht="15" hidden="true" customHeight="false" outlineLevel="0" collapsed="false">
      <c r="A3" s="2" t="n">
        <v>2</v>
      </c>
      <c r="B3" s="3" t="s">
        <v>17</v>
      </c>
      <c r="C3" s="3" t="s">
        <v>18</v>
      </c>
      <c r="D3" s="2" t="s">
        <v>19</v>
      </c>
      <c r="E3" s="2" t="s">
        <v>20</v>
      </c>
      <c r="F3" s="3" t="s">
        <v>21</v>
      </c>
      <c r="G3" s="3" t="s">
        <v>22</v>
      </c>
      <c r="H3" s="4" t="n">
        <v>46302</v>
      </c>
      <c r="I3" s="5" t="n">
        <v>8.7</v>
      </c>
      <c r="J3" s="2" t="s">
        <v>23</v>
      </c>
    </row>
    <row r="4" customFormat="false" ht="15" hidden="true" customHeight="false" outlineLevel="0" collapsed="false">
      <c r="A4" s="2" t="n">
        <v>3</v>
      </c>
      <c r="B4" s="3" t="s">
        <v>24</v>
      </c>
      <c r="C4" s="3" t="s">
        <v>25</v>
      </c>
      <c r="D4" s="2" t="s">
        <v>26</v>
      </c>
      <c r="E4" s="2" t="s">
        <v>27</v>
      </c>
      <c r="F4" s="3" t="s">
        <v>14</v>
      </c>
      <c r="G4" s="3" t="s">
        <v>28</v>
      </c>
      <c r="H4" s="4" t="n">
        <v>46316</v>
      </c>
      <c r="I4" s="5" t="n">
        <v>3.7</v>
      </c>
      <c r="J4" s="2" t="s">
        <v>16</v>
      </c>
    </row>
    <row r="5" customFormat="false" ht="15" hidden="true" customHeight="false" outlineLevel="0" collapsed="false">
      <c r="A5" s="2" t="n">
        <v>4</v>
      </c>
      <c r="B5" s="3" t="s">
        <v>29</v>
      </c>
      <c r="C5" s="3" t="s">
        <v>30</v>
      </c>
      <c r="D5" s="2" t="s">
        <v>31</v>
      </c>
      <c r="E5" s="2" t="s">
        <v>13</v>
      </c>
      <c r="F5" s="3" t="s">
        <v>32</v>
      </c>
      <c r="G5" s="3" t="s">
        <v>15</v>
      </c>
      <c r="H5" s="4" t="n">
        <v>46321</v>
      </c>
      <c r="I5" s="5" t="n">
        <v>6.1</v>
      </c>
      <c r="J5" s="2" t="s">
        <v>16</v>
      </c>
    </row>
    <row r="6" customFormat="false" ht="15" hidden="false" customHeight="false" outlineLevel="0" collapsed="false">
      <c r="A6" s="2" t="n">
        <v>5</v>
      </c>
      <c r="B6" s="3" t="s">
        <v>33</v>
      </c>
      <c r="C6" s="3" t="s">
        <v>34</v>
      </c>
      <c r="D6" s="2" t="s">
        <v>35</v>
      </c>
      <c r="E6" s="2" t="s">
        <v>36</v>
      </c>
      <c r="F6" s="3" t="s">
        <v>14</v>
      </c>
      <c r="G6" s="3" t="s">
        <v>37</v>
      </c>
      <c r="H6" s="4" t="n">
        <v>46317</v>
      </c>
      <c r="I6" s="5" t="n">
        <v>6.6</v>
      </c>
      <c r="J6" s="2" t="s">
        <v>16</v>
      </c>
    </row>
    <row r="7" customFormat="false" ht="15" hidden="true" customHeight="false" outlineLevel="0" collapsed="false">
      <c r="A7" s="2" t="n">
        <v>6</v>
      </c>
      <c r="B7" s="3" t="s">
        <v>38</v>
      </c>
      <c r="C7" s="3" t="s">
        <v>39</v>
      </c>
      <c r="D7" s="2" t="s">
        <v>40</v>
      </c>
      <c r="E7" s="2" t="s">
        <v>27</v>
      </c>
      <c r="F7" s="3" t="s">
        <v>41</v>
      </c>
      <c r="G7" s="3" t="s">
        <v>15</v>
      </c>
      <c r="H7" s="4" t="n">
        <v>46321</v>
      </c>
      <c r="I7" s="5" t="n">
        <v>8.7</v>
      </c>
      <c r="J7" s="2" t="s">
        <v>16</v>
      </c>
    </row>
    <row r="8" customFormat="false" ht="15" hidden="false" customHeight="false" outlineLevel="0" collapsed="false">
      <c r="A8" s="2" t="n">
        <v>7</v>
      </c>
      <c r="B8" s="3" t="s">
        <v>42</v>
      </c>
      <c r="C8" s="3" t="s">
        <v>43</v>
      </c>
      <c r="D8" s="2" t="s">
        <v>44</v>
      </c>
      <c r="E8" s="2" t="s">
        <v>36</v>
      </c>
      <c r="F8" s="3" t="s">
        <v>14</v>
      </c>
      <c r="G8" s="3" t="s">
        <v>15</v>
      </c>
      <c r="H8" s="4" t="n">
        <v>46302</v>
      </c>
      <c r="I8" s="5" t="n">
        <v>6.8</v>
      </c>
      <c r="J8" s="2" t="s">
        <v>23</v>
      </c>
    </row>
    <row r="9" customFormat="false" ht="15" hidden="true" customHeight="false" outlineLevel="0" collapsed="false">
      <c r="A9" s="2" t="n">
        <v>8</v>
      </c>
      <c r="B9" s="3" t="s">
        <v>45</v>
      </c>
      <c r="C9" s="3" t="s">
        <v>46</v>
      </c>
      <c r="D9" s="2" t="s">
        <v>47</v>
      </c>
      <c r="E9" s="2" t="s">
        <v>36</v>
      </c>
      <c r="F9" s="3" t="s">
        <v>32</v>
      </c>
      <c r="G9" s="3" t="s">
        <v>15</v>
      </c>
      <c r="H9" s="4" t="n">
        <v>46310</v>
      </c>
      <c r="I9" s="5" t="n">
        <v>9.6</v>
      </c>
      <c r="J9" s="2" t="s">
        <v>16</v>
      </c>
    </row>
    <row r="10" customFormat="false" ht="15" hidden="true" customHeight="false" outlineLevel="0" collapsed="false">
      <c r="A10" s="2" t="n">
        <v>9</v>
      </c>
      <c r="B10" s="3" t="s">
        <v>48</v>
      </c>
      <c r="C10" s="3" t="s">
        <v>49</v>
      </c>
      <c r="D10" s="2" t="s">
        <v>50</v>
      </c>
      <c r="E10" s="2" t="s">
        <v>51</v>
      </c>
      <c r="F10" s="3" t="s">
        <v>32</v>
      </c>
      <c r="G10" s="3" t="s">
        <v>52</v>
      </c>
      <c r="H10" s="4" t="n">
        <v>46314</v>
      </c>
      <c r="I10" s="5" t="n">
        <v>7.5</v>
      </c>
      <c r="J10" s="2" t="s">
        <v>16</v>
      </c>
    </row>
    <row r="11" customFormat="false" ht="15" hidden="true" customHeight="false" outlineLevel="0" collapsed="false">
      <c r="A11" s="2" t="n">
        <v>10</v>
      </c>
      <c r="B11" s="3" t="s">
        <v>53</v>
      </c>
      <c r="C11" s="3" t="s">
        <v>54</v>
      </c>
      <c r="D11" s="2" t="s">
        <v>55</v>
      </c>
      <c r="E11" s="2" t="s">
        <v>13</v>
      </c>
      <c r="F11" s="3" t="s">
        <v>41</v>
      </c>
      <c r="G11" s="3" t="s">
        <v>56</v>
      </c>
      <c r="H11" s="4" t="n">
        <v>46320</v>
      </c>
      <c r="I11" s="5" t="n">
        <v>7</v>
      </c>
      <c r="J11" s="2" t="s">
        <v>16</v>
      </c>
    </row>
    <row r="12" customFormat="false" ht="15" hidden="true" customHeight="false" outlineLevel="0" collapsed="false">
      <c r="A12" s="2" t="n">
        <v>11</v>
      </c>
      <c r="B12" s="3" t="s">
        <v>57</v>
      </c>
      <c r="C12" s="3" t="s">
        <v>58</v>
      </c>
      <c r="D12" s="2" t="s">
        <v>59</v>
      </c>
      <c r="E12" s="2" t="s">
        <v>20</v>
      </c>
      <c r="F12" s="3" t="s">
        <v>41</v>
      </c>
      <c r="G12" s="3" t="s">
        <v>56</v>
      </c>
      <c r="H12" s="4" t="n">
        <v>46312</v>
      </c>
      <c r="I12" s="5" t="n">
        <v>6.9</v>
      </c>
      <c r="J12" s="2" t="s">
        <v>16</v>
      </c>
    </row>
    <row r="13" customFormat="false" ht="15" hidden="true" customHeight="false" outlineLevel="0" collapsed="false">
      <c r="A13" s="2" t="n">
        <v>12</v>
      </c>
      <c r="B13" s="3" t="s">
        <v>60</v>
      </c>
      <c r="C13" s="3" t="s">
        <v>61</v>
      </c>
      <c r="D13" s="2" t="s">
        <v>62</v>
      </c>
      <c r="E13" s="2" t="s">
        <v>27</v>
      </c>
      <c r="F13" s="3" t="s">
        <v>21</v>
      </c>
      <c r="G13" s="3" t="s">
        <v>22</v>
      </c>
      <c r="H13" s="4" t="n">
        <v>46306</v>
      </c>
      <c r="I13" s="5" t="n">
        <v>9.4</v>
      </c>
      <c r="J13" s="2" t="s">
        <v>16</v>
      </c>
    </row>
    <row r="14" customFormat="false" ht="15" hidden="true" customHeight="false" outlineLevel="0" collapsed="false">
      <c r="A14" s="2" t="n">
        <v>13</v>
      </c>
      <c r="B14" s="3" t="s">
        <v>63</v>
      </c>
      <c r="C14" s="3" t="s">
        <v>64</v>
      </c>
      <c r="D14" s="2" t="s">
        <v>65</v>
      </c>
      <c r="E14" s="2" t="s">
        <v>51</v>
      </c>
      <c r="F14" s="3" t="s">
        <v>21</v>
      </c>
      <c r="G14" s="3" t="s">
        <v>52</v>
      </c>
      <c r="H14" s="4" t="n">
        <v>46310</v>
      </c>
      <c r="I14" s="5" t="n">
        <v>7.1</v>
      </c>
      <c r="J14" s="2" t="s">
        <v>16</v>
      </c>
    </row>
    <row r="15" customFormat="false" ht="15" hidden="true" customHeight="false" outlineLevel="0" collapsed="false">
      <c r="A15" s="2" t="n">
        <v>14</v>
      </c>
      <c r="B15" s="3" t="s">
        <v>66</v>
      </c>
      <c r="C15" s="3" t="s">
        <v>67</v>
      </c>
      <c r="D15" s="2" t="s">
        <v>68</v>
      </c>
      <c r="E15" s="2" t="s">
        <v>13</v>
      </c>
      <c r="F15" s="3" t="s">
        <v>32</v>
      </c>
      <c r="G15" s="3" t="s">
        <v>56</v>
      </c>
      <c r="H15" s="4" t="n">
        <v>46302</v>
      </c>
      <c r="I15" s="5" t="n">
        <v>4.5</v>
      </c>
      <c r="J15" s="2" t="s">
        <v>23</v>
      </c>
    </row>
    <row r="16" customFormat="false" ht="15" hidden="true" customHeight="false" outlineLevel="0" collapsed="false">
      <c r="A16" s="2" t="n">
        <v>15</v>
      </c>
      <c r="B16" s="3" t="s">
        <v>69</v>
      </c>
      <c r="C16" s="3" t="s">
        <v>70</v>
      </c>
      <c r="D16" s="2" t="s">
        <v>71</v>
      </c>
      <c r="E16" s="2" t="s">
        <v>20</v>
      </c>
      <c r="F16" s="3" t="s">
        <v>41</v>
      </c>
      <c r="G16" s="3" t="s">
        <v>37</v>
      </c>
      <c r="H16" s="4" t="n">
        <v>46304</v>
      </c>
      <c r="I16" s="5" t="n">
        <v>5.4</v>
      </c>
      <c r="J16" s="2" t="s">
        <v>16</v>
      </c>
    </row>
    <row r="17" customFormat="false" ht="15" hidden="true" customHeight="false" outlineLevel="0" collapsed="false">
      <c r="A17" s="2" t="n">
        <v>16</v>
      </c>
      <c r="B17" s="3" t="s">
        <v>72</v>
      </c>
      <c r="C17" s="3" t="s">
        <v>73</v>
      </c>
      <c r="D17" s="2" t="s">
        <v>74</v>
      </c>
      <c r="E17" s="2" t="s">
        <v>20</v>
      </c>
      <c r="F17" s="3" t="s">
        <v>14</v>
      </c>
      <c r="G17" s="3" t="s">
        <v>37</v>
      </c>
      <c r="H17" s="4" t="n">
        <v>46298</v>
      </c>
      <c r="I17" s="5" t="n">
        <v>7</v>
      </c>
      <c r="J17" s="2" t="s">
        <v>23</v>
      </c>
    </row>
    <row r="18" customFormat="false" ht="15" hidden="true" customHeight="false" outlineLevel="0" collapsed="false">
      <c r="A18" s="2" t="n">
        <v>17</v>
      </c>
      <c r="B18" s="3" t="s">
        <v>75</v>
      </c>
      <c r="C18" s="3" t="s">
        <v>76</v>
      </c>
      <c r="D18" s="2" t="s">
        <v>77</v>
      </c>
      <c r="E18" s="2" t="s">
        <v>27</v>
      </c>
      <c r="F18" s="3" t="s">
        <v>21</v>
      </c>
      <c r="G18" s="3" t="s">
        <v>78</v>
      </c>
      <c r="H18" s="4" t="n">
        <v>46315</v>
      </c>
      <c r="I18" s="5" t="n">
        <v>7.2</v>
      </c>
      <c r="J18" s="2" t="s">
        <v>16</v>
      </c>
    </row>
    <row r="19" customFormat="false" ht="15" hidden="true" customHeight="false" outlineLevel="0" collapsed="false">
      <c r="A19" s="2" t="n">
        <v>18</v>
      </c>
      <c r="B19" s="3" t="s">
        <v>79</v>
      </c>
      <c r="C19" s="3" t="s">
        <v>80</v>
      </c>
      <c r="D19" s="2" t="s">
        <v>81</v>
      </c>
      <c r="E19" s="2" t="s">
        <v>13</v>
      </c>
      <c r="F19" s="3" t="s">
        <v>21</v>
      </c>
      <c r="G19" s="3" t="s">
        <v>52</v>
      </c>
      <c r="H19" s="4" t="n">
        <v>46319</v>
      </c>
      <c r="I19" s="5" t="n">
        <v>6.8</v>
      </c>
      <c r="J19" s="2" t="s">
        <v>16</v>
      </c>
    </row>
    <row r="20" customFormat="false" ht="15" hidden="false" customHeight="false" outlineLevel="0" collapsed="false">
      <c r="A20" s="2" t="n">
        <v>19</v>
      </c>
      <c r="B20" s="3" t="s">
        <v>82</v>
      </c>
      <c r="C20" s="3" t="s">
        <v>83</v>
      </c>
      <c r="D20" s="2" t="s">
        <v>84</v>
      </c>
      <c r="E20" s="2" t="s">
        <v>36</v>
      </c>
      <c r="F20" s="3" t="s">
        <v>21</v>
      </c>
      <c r="G20" s="3" t="s">
        <v>85</v>
      </c>
      <c r="H20" s="4" t="n">
        <v>46296</v>
      </c>
      <c r="I20" s="5" t="n">
        <v>5.5</v>
      </c>
      <c r="J20" s="2" t="s">
        <v>16</v>
      </c>
    </row>
    <row r="21" customFormat="false" ht="15" hidden="true" customHeight="false" outlineLevel="0" collapsed="false">
      <c r="A21" s="2" t="n">
        <v>20</v>
      </c>
      <c r="B21" s="3" t="s">
        <v>86</v>
      </c>
      <c r="C21" s="3" t="s">
        <v>87</v>
      </c>
      <c r="D21" s="2" t="s">
        <v>88</v>
      </c>
      <c r="E21" s="2" t="s">
        <v>51</v>
      </c>
      <c r="F21" s="3" t="s">
        <v>41</v>
      </c>
      <c r="G21" s="3" t="s">
        <v>52</v>
      </c>
      <c r="H21" s="4" t="n">
        <v>46302</v>
      </c>
      <c r="I21" s="5" t="n">
        <v>8</v>
      </c>
      <c r="J21" s="2" t="s">
        <v>23</v>
      </c>
    </row>
    <row r="22" customFormat="false" ht="15" hidden="true" customHeight="false" outlineLevel="0" collapsed="false">
      <c r="A22" s="2" t="n">
        <v>21</v>
      </c>
      <c r="B22" s="3" t="s">
        <v>89</v>
      </c>
      <c r="C22" s="3" t="s">
        <v>90</v>
      </c>
      <c r="D22" s="2" t="s">
        <v>91</v>
      </c>
      <c r="E22" s="2" t="s">
        <v>13</v>
      </c>
      <c r="F22" s="3" t="s">
        <v>14</v>
      </c>
      <c r="G22" s="3" t="s">
        <v>52</v>
      </c>
      <c r="H22" s="4" t="n">
        <v>46319</v>
      </c>
      <c r="I22" s="5" t="n">
        <v>5.4</v>
      </c>
      <c r="J22" s="2" t="s">
        <v>16</v>
      </c>
    </row>
    <row r="23" customFormat="false" ht="15" hidden="true" customHeight="false" outlineLevel="0" collapsed="false">
      <c r="A23" s="2" t="n">
        <v>22</v>
      </c>
      <c r="B23" s="3" t="s">
        <v>92</v>
      </c>
      <c r="C23" s="3" t="s">
        <v>93</v>
      </c>
      <c r="D23" s="2" t="s">
        <v>94</v>
      </c>
      <c r="E23" s="2" t="s">
        <v>36</v>
      </c>
      <c r="F23" s="3" t="s">
        <v>21</v>
      </c>
      <c r="G23" s="3" t="s">
        <v>22</v>
      </c>
      <c r="H23" s="4" t="n">
        <v>46299</v>
      </c>
      <c r="I23" s="5" t="n">
        <v>7.4</v>
      </c>
      <c r="J23" s="2" t="s">
        <v>23</v>
      </c>
    </row>
    <row r="24" customFormat="false" ht="15" hidden="true" customHeight="false" outlineLevel="0" collapsed="false">
      <c r="A24" s="2" t="n">
        <v>23</v>
      </c>
      <c r="B24" s="3" t="s">
        <v>95</v>
      </c>
      <c r="C24" s="3" t="s">
        <v>96</v>
      </c>
      <c r="D24" s="2" t="s">
        <v>97</v>
      </c>
      <c r="E24" s="2" t="s">
        <v>36</v>
      </c>
      <c r="F24" s="3" t="s">
        <v>14</v>
      </c>
      <c r="G24" s="3" t="s">
        <v>56</v>
      </c>
      <c r="H24" s="4" t="n">
        <v>46317</v>
      </c>
      <c r="I24" s="5" t="n">
        <v>7</v>
      </c>
      <c r="J24" s="2" t="s">
        <v>16</v>
      </c>
    </row>
    <row r="25" customFormat="false" ht="15" hidden="true" customHeight="false" outlineLevel="0" collapsed="false">
      <c r="A25" s="2" t="n">
        <v>24</v>
      </c>
      <c r="B25" s="3" t="s">
        <v>98</v>
      </c>
      <c r="C25" s="3" t="s">
        <v>99</v>
      </c>
      <c r="D25" s="2" t="s">
        <v>100</v>
      </c>
      <c r="E25" s="2" t="s">
        <v>36</v>
      </c>
      <c r="F25" s="3" t="s">
        <v>32</v>
      </c>
      <c r="G25" s="3" t="s">
        <v>56</v>
      </c>
      <c r="H25" s="4" t="n">
        <v>46309</v>
      </c>
      <c r="I25" s="5" t="n">
        <v>9.6</v>
      </c>
      <c r="J25" s="2" t="s">
        <v>16</v>
      </c>
    </row>
    <row r="26" customFormat="false" ht="15" hidden="true" customHeight="false" outlineLevel="0" collapsed="false">
      <c r="A26" s="2" t="n">
        <v>25</v>
      </c>
      <c r="B26" s="3" t="s">
        <v>101</v>
      </c>
      <c r="C26" s="3" t="s">
        <v>102</v>
      </c>
      <c r="D26" s="2" t="s">
        <v>103</v>
      </c>
      <c r="E26" s="2" t="s">
        <v>36</v>
      </c>
      <c r="F26" s="3" t="s">
        <v>32</v>
      </c>
      <c r="G26" s="3" t="s">
        <v>56</v>
      </c>
      <c r="H26" s="4" t="n">
        <v>46311</v>
      </c>
      <c r="I26" s="5" t="n">
        <v>9.5</v>
      </c>
      <c r="J26" s="2" t="s">
        <v>23</v>
      </c>
    </row>
    <row r="27" customFormat="false" ht="15" hidden="true" customHeight="false" outlineLevel="0" collapsed="false">
      <c r="A27" s="2" t="n">
        <v>26</v>
      </c>
      <c r="B27" s="3" t="s">
        <v>104</v>
      </c>
      <c r="C27" s="3" t="s">
        <v>105</v>
      </c>
      <c r="D27" s="2" t="s">
        <v>106</v>
      </c>
      <c r="E27" s="2" t="s">
        <v>13</v>
      </c>
      <c r="F27" s="3" t="s">
        <v>41</v>
      </c>
      <c r="G27" s="3" t="s">
        <v>28</v>
      </c>
      <c r="H27" s="4" t="n">
        <v>46313</v>
      </c>
      <c r="I27" s="5" t="n">
        <v>4.7</v>
      </c>
      <c r="J27" s="2" t="s">
        <v>16</v>
      </c>
    </row>
    <row r="28" customFormat="false" ht="15" hidden="true" customHeight="false" outlineLevel="0" collapsed="false">
      <c r="A28" s="2" t="n">
        <v>27</v>
      </c>
      <c r="B28" s="3" t="s">
        <v>107</v>
      </c>
      <c r="C28" s="3" t="s">
        <v>108</v>
      </c>
      <c r="D28" s="2" t="s">
        <v>109</v>
      </c>
      <c r="E28" s="2" t="s">
        <v>27</v>
      </c>
      <c r="F28" s="3" t="s">
        <v>21</v>
      </c>
      <c r="G28" s="3" t="s">
        <v>52</v>
      </c>
      <c r="H28" s="4" t="n">
        <v>46313</v>
      </c>
      <c r="I28" s="5" t="n">
        <v>10</v>
      </c>
      <c r="J28" s="2" t="s">
        <v>16</v>
      </c>
    </row>
    <row r="29" customFormat="false" ht="15" hidden="false" customHeight="false" outlineLevel="0" collapsed="false">
      <c r="A29" s="2" t="n">
        <v>28</v>
      </c>
      <c r="B29" s="3" t="s">
        <v>110</v>
      </c>
      <c r="C29" s="3" t="s">
        <v>111</v>
      </c>
      <c r="D29" s="2" t="s">
        <v>112</v>
      </c>
      <c r="E29" s="2" t="s">
        <v>36</v>
      </c>
      <c r="F29" s="3" t="s">
        <v>21</v>
      </c>
      <c r="G29" s="3" t="s">
        <v>37</v>
      </c>
      <c r="H29" s="4" t="n">
        <v>46299</v>
      </c>
      <c r="I29" s="5" t="n">
        <v>5.7</v>
      </c>
      <c r="J29" s="2" t="s">
        <v>16</v>
      </c>
    </row>
    <row r="30" customFormat="false" ht="15" hidden="true" customHeight="false" outlineLevel="0" collapsed="false">
      <c r="A30" s="2" t="n">
        <v>29</v>
      </c>
      <c r="B30" s="3" t="s">
        <v>113</v>
      </c>
      <c r="C30" s="3" t="s">
        <v>114</v>
      </c>
      <c r="D30" s="2" t="s">
        <v>115</v>
      </c>
      <c r="E30" s="2" t="s">
        <v>36</v>
      </c>
      <c r="F30" s="3" t="s">
        <v>32</v>
      </c>
      <c r="G30" s="3" t="s">
        <v>85</v>
      </c>
      <c r="H30" s="4" t="n">
        <v>46308</v>
      </c>
      <c r="I30" s="5" t="n">
        <v>9</v>
      </c>
      <c r="J30" s="2" t="s">
        <v>16</v>
      </c>
    </row>
    <row r="31" customFormat="false" ht="15" hidden="true" customHeight="false" outlineLevel="0" collapsed="false">
      <c r="A31" s="2" t="n">
        <v>30</v>
      </c>
      <c r="B31" s="3" t="s">
        <v>116</v>
      </c>
      <c r="C31" s="3" t="s">
        <v>117</v>
      </c>
      <c r="D31" s="2" t="s">
        <v>118</v>
      </c>
      <c r="E31" s="2" t="s">
        <v>36</v>
      </c>
      <c r="F31" s="3" t="s">
        <v>32</v>
      </c>
      <c r="G31" s="3" t="s">
        <v>85</v>
      </c>
      <c r="H31" s="4" t="n">
        <v>46301</v>
      </c>
      <c r="I31" s="5" t="n">
        <v>9</v>
      </c>
      <c r="J31" s="2" t="s">
        <v>16</v>
      </c>
    </row>
    <row r="32" customFormat="false" ht="15" hidden="true" customHeight="false" outlineLevel="0" collapsed="false">
      <c r="A32" s="2" t="n">
        <v>31</v>
      </c>
      <c r="B32" s="3" t="s">
        <v>119</v>
      </c>
      <c r="C32" s="3" t="s">
        <v>120</v>
      </c>
      <c r="D32" s="2" t="s">
        <v>121</v>
      </c>
      <c r="E32" s="2" t="s">
        <v>13</v>
      </c>
      <c r="F32" s="3" t="s">
        <v>14</v>
      </c>
      <c r="G32" s="3" t="s">
        <v>52</v>
      </c>
      <c r="H32" s="4" t="n">
        <v>46299</v>
      </c>
      <c r="I32" s="5" t="n">
        <v>6</v>
      </c>
      <c r="J32" s="2" t="s">
        <v>16</v>
      </c>
    </row>
    <row r="33" customFormat="false" ht="15" hidden="true" customHeight="false" outlineLevel="0" collapsed="false">
      <c r="A33" s="2" t="n">
        <v>32</v>
      </c>
      <c r="B33" s="3" t="s">
        <v>122</v>
      </c>
      <c r="C33" s="3" t="s">
        <v>123</v>
      </c>
      <c r="D33" s="2" t="s">
        <v>124</v>
      </c>
      <c r="E33" s="2" t="s">
        <v>36</v>
      </c>
      <c r="F33" s="3" t="s">
        <v>21</v>
      </c>
      <c r="G33" s="3" t="s">
        <v>52</v>
      </c>
      <c r="H33" s="4" t="n">
        <v>46314</v>
      </c>
      <c r="I33" s="5" t="n">
        <v>8.8</v>
      </c>
      <c r="J33" s="2" t="s">
        <v>23</v>
      </c>
    </row>
    <row r="34" customFormat="false" ht="15" hidden="false" customHeight="false" outlineLevel="0" collapsed="false">
      <c r="A34" s="2" t="n">
        <v>33</v>
      </c>
      <c r="B34" s="3" t="s">
        <v>125</v>
      </c>
      <c r="C34" s="3" t="s">
        <v>126</v>
      </c>
      <c r="D34" s="2" t="s">
        <v>127</v>
      </c>
      <c r="E34" s="2" t="s">
        <v>36</v>
      </c>
      <c r="F34" s="3" t="s">
        <v>21</v>
      </c>
      <c r="G34" s="3" t="s">
        <v>15</v>
      </c>
      <c r="H34" s="4" t="n">
        <v>46306</v>
      </c>
      <c r="I34" s="5" t="n">
        <v>4.9</v>
      </c>
      <c r="J34" s="2" t="s">
        <v>16</v>
      </c>
    </row>
    <row r="35" customFormat="false" ht="15" hidden="false" customHeight="false" outlineLevel="0" collapsed="false">
      <c r="A35" s="2" t="n">
        <v>34</v>
      </c>
      <c r="B35" s="3" t="s">
        <v>128</v>
      </c>
      <c r="C35" s="3" t="s">
        <v>129</v>
      </c>
      <c r="D35" s="2" t="s">
        <v>130</v>
      </c>
      <c r="E35" s="2" t="s">
        <v>36</v>
      </c>
      <c r="F35" s="3" t="s">
        <v>14</v>
      </c>
      <c r="G35" s="3" t="s">
        <v>22</v>
      </c>
      <c r="H35" s="4" t="n">
        <v>46304</v>
      </c>
      <c r="I35" s="5" t="n">
        <v>5.2</v>
      </c>
      <c r="J35" s="2" t="s">
        <v>23</v>
      </c>
    </row>
    <row r="36" customFormat="false" ht="15" hidden="true" customHeight="false" outlineLevel="0" collapsed="false">
      <c r="A36" s="2" t="n">
        <v>35</v>
      </c>
      <c r="B36" s="3" t="s">
        <v>131</v>
      </c>
      <c r="C36" s="3" t="s">
        <v>132</v>
      </c>
      <c r="D36" s="2" t="s">
        <v>133</v>
      </c>
      <c r="E36" s="2" t="s">
        <v>20</v>
      </c>
      <c r="F36" s="3" t="s">
        <v>14</v>
      </c>
      <c r="G36" s="3" t="s">
        <v>37</v>
      </c>
      <c r="H36" s="4" t="n">
        <v>46314</v>
      </c>
      <c r="I36" s="5" t="n">
        <v>3.6</v>
      </c>
      <c r="J36" s="2" t="s">
        <v>16</v>
      </c>
    </row>
    <row r="37" customFormat="false" ht="15" hidden="true" customHeight="false" outlineLevel="0" collapsed="false">
      <c r="A37" s="2" t="n">
        <v>36</v>
      </c>
      <c r="B37" s="3" t="s">
        <v>134</v>
      </c>
      <c r="C37" s="3" t="s">
        <v>135</v>
      </c>
      <c r="D37" s="2" t="s">
        <v>136</v>
      </c>
      <c r="E37" s="2" t="s">
        <v>20</v>
      </c>
      <c r="F37" s="3" t="s">
        <v>14</v>
      </c>
      <c r="G37" s="3" t="s">
        <v>85</v>
      </c>
      <c r="H37" s="4" t="n">
        <v>46297</v>
      </c>
      <c r="I37" s="5" t="n">
        <v>5.2</v>
      </c>
      <c r="J37" s="2" t="s">
        <v>16</v>
      </c>
    </row>
    <row r="38" customFormat="false" ht="15" hidden="false" customHeight="false" outlineLevel="0" collapsed="false">
      <c r="A38" s="2" t="n">
        <v>37</v>
      </c>
      <c r="B38" s="3" t="s">
        <v>137</v>
      </c>
      <c r="C38" s="3" t="s">
        <v>138</v>
      </c>
      <c r="D38" s="2" t="s">
        <v>139</v>
      </c>
      <c r="E38" s="2" t="s">
        <v>36</v>
      </c>
      <c r="F38" s="3" t="s">
        <v>14</v>
      </c>
      <c r="G38" s="3" t="s">
        <v>28</v>
      </c>
      <c r="H38" s="4" t="n">
        <v>46316</v>
      </c>
      <c r="I38" s="5" t="n">
        <v>5.6</v>
      </c>
      <c r="J38" s="2" t="s">
        <v>23</v>
      </c>
    </row>
    <row r="39" customFormat="false" ht="15" hidden="false" customHeight="false" outlineLevel="0" collapsed="false">
      <c r="A39" s="2" t="n">
        <v>38</v>
      </c>
      <c r="B39" s="3" t="s">
        <v>140</v>
      </c>
      <c r="C39" s="3" t="s">
        <v>141</v>
      </c>
      <c r="D39" s="2" t="s">
        <v>142</v>
      </c>
      <c r="E39" s="2" t="s">
        <v>36</v>
      </c>
      <c r="F39" s="3" t="s">
        <v>32</v>
      </c>
      <c r="G39" s="3" t="s">
        <v>15</v>
      </c>
      <c r="H39" s="4" t="n">
        <v>46300</v>
      </c>
      <c r="I39" s="5" t="n">
        <v>4.8</v>
      </c>
      <c r="J39" s="2" t="s">
        <v>16</v>
      </c>
    </row>
    <row r="40" customFormat="false" ht="15" hidden="true" customHeight="false" outlineLevel="0" collapsed="false">
      <c r="A40" s="2" t="n">
        <v>39</v>
      </c>
      <c r="B40" s="3" t="s">
        <v>143</v>
      </c>
      <c r="C40" s="3" t="s">
        <v>144</v>
      </c>
      <c r="D40" s="2" t="s">
        <v>145</v>
      </c>
      <c r="E40" s="2" t="s">
        <v>20</v>
      </c>
      <c r="F40" s="3" t="s">
        <v>21</v>
      </c>
      <c r="G40" s="3" t="s">
        <v>78</v>
      </c>
      <c r="H40" s="4" t="n">
        <v>46304</v>
      </c>
      <c r="I40" s="5" t="n">
        <v>9.9</v>
      </c>
      <c r="J40" s="2" t="s">
        <v>23</v>
      </c>
    </row>
    <row r="41" customFormat="false" ht="15" hidden="true" customHeight="false" outlineLevel="0" collapsed="false">
      <c r="A41" s="2" t="n">
        <v>40</v>
      </c>
      <c r="B41" s="3" t="s">
        <v>146</v>
      </c>
      <c r="C41" s="3" t="s">
        <v>147</v>
      </c>
      <c r="D41" s="2" t="s">
        <v>148</v>
      </c>
      <c r="E41" s="2" t="s">
        <v>27</v>
      </c>
      <c r="F41" s="3" t="s">
        <v>41</v>
      </c>
      <c r="G41" s="3" t="s">
        <v>85</v>
      </c>
      <c r="H41" s="4" t="n">
        <v>46297</v>
      </c>
      <c r="I41" s="5" t="n">
        <v>6.6</v>
      </c>
      <c r="J41" s="2" t="s">
        <v>16</v>
      </c>
    </row>
    <row r="42" customFormat="false" ht="15" hidden="true" customHeight="false" outlineLevel="0" collapsed="false">
      <c r="A42" s="2" t="n">
        <v>41</v>
      </c>
      <c r="B42" s="3" t="s">
        <v>149</v>
      </c>
      <c r="C42" s="3" t="s">
        <v>150</v>
      </c>
      <c r="D42" s="2" t="s">
        <v>151</v>
      </c>
      <c r="E42" s="2" t="s">
        <v>27</v>
      </c>
      <c r="F42" s="3" t="s">
        <v>14</v>
      </c>
      <c r="G42" s="3" t="s">
        <v>28</v>
      </c>
      <c r="H42" s="4" t="n">
        <v>46298</v>
      </c>
      <c r="I42" s="5" t="n">
        <v>9.9</v>
      </c>
      <c r="J42" s="2" t="s">
        <v>16</v>
      </c>
    </row>
    <row r="43" customFormat="false" ht="15" hidden="true" customHeight="false" outlineLevel="0" collapsed="false">
      <c r="A43" s="2" t="n">
        <v>42</v>
      </c>
      <c r="B43" s="3" t="s">
        <v>152</v>
      </c>
      <c r="C43" s="3" t="s">
        <v>153</v>
      </c>
      <c r="D43" s="2" t="s">
        <v>154</v>
      </c>
      <c r="E43" s="2" t="s">
        <v>36</v>
      </c>
      <c r="F43" s="3" t="s">
        <v>14</v>
      </c>
      <c r="G43" s="3" t="s">
        <v>37</v>
      </c>
      <c r="H43" s="4" t="n">
        <v>46321</v>
      </c>
      <c r="I43" s="5" t="n">
        <v>7.6</v>
      </c>
      <c r="J43" s="2" t="s">
        <v>23</v>
      </c>
    </row>
    <row r="44" customFormat="false" ht="15" hidden="true" customHeight="false" outlineLevel="0" collapsed="false">
      <c r="A44" s="2" t="n">
        <v>43</v>
      </c>
      <c r="B44" s="3" t="s">
        <v>155</v>
      </c>
      <c r="C44" s="3" t="s">
        <v>156</v>
      </c>
      <c r="D44" s="2" t="s">
        <v>157</v>
      </c>
      <c r="E44" s="2" t="s">
        <v>13</v>
      </c>
      <c r="F44" s="3" t="s">
        <v>21</v>
      </c>
      <c r="G44" s="3" t="s">
        <v>15</v>
      </c>
      <c r="H44" s="4" t="n">
        <v>46321</v>
      </c>
      <c r="I44" s="5" t="n">
        <v>4.4</v>
      </c>
      <c r="J44" s="2" t="s">
        <v>16</v>
      </c>
    </row>
    <row r="45" customFormat="false" ht="15" hidden="true" customHeight="false" outlineLevel="0" collapsed="false">
      <c r="A45" s="2" t="n">
        <v>44</v>
      </c>
      <c r="B45" s="3" t="s">
        <v>158</v>
      </c>
      <c r="C45" s="3" t="s">
        <v>159</v>
      </c>
      <c r="D45" s="2" t="s">
        <v>160</v>
      </c>
      <c r="E45" s="2" t="s">
        <v>36</v>
      </c>
      <c r="F45" s="3" t="s">
        <v>14</v>
      </c>
      <c r="G45" s="3" t="s">
        <v>56</v>
      </c>
      <c r="H45" s="4" t="n">
        <v>46318</v>
      </c>
      <c r="I45" s="5" t="n">
        <v>8.7</v>
      </c>
      <c r="J45" s="2" t="s">
        <v>23</v>
      </c>
    </row>
    <row r="46" customFormat="false" ht="15" hidden="true" customHeight="false" outlineLevel="0" collapsed="false">
      <c r="A46" s="2" t="n">
        <v>45</v>
      </c>
      <c r="B46" s="3" t="s">
        <v>161</v>
      </c>
      <c r="C46" s="3" t="s">
        <v>162</v>
      </c>
      <c r="D46" s="2" t="s">
        <v>163</v>
      </c>
      <c r="E46" s="2" t="s">
        <v>20</v>
      </c>
      <c r="F46" s="3" t="s">
        <v>21</v>
      </c>
      <c r="G46" s="3" t="s">
        <v>85</v>
      </c>
      <c r="H46" s="4" t="n">
        <v>46300</v>
      </c>
      <c r="I46" s="5" t="n">
        <v>8.4</v>
      </c>
      <c r="J46" s="2" t="s">
        <v>16</v>
      </c>
    </row>
    <row r="47" customFormat="false" ht="15" hidden="true" customHeight="false" outlineLevel="0" collapsed="false">
      <c r="A47" s="2" t="n">
        <v>46</v>
      </c>
      <c r="B47" s="3" t="s">
        <v>33</v>
      </c>
      <c r="C47" s="3" t="s">
        <v>164</v>
      </c>
      <c r="D47" s="2" t="s">
        <v>165</v>
      </c>
      <c r="E47" s="2" t="s">
        <v>27</v>
      </c>
      <c r="F47" s="3" t="s">
        <v>14</v>
      </c>
      <c r="G47" s="3" t="s">
        <v>56</v>
      </c>
      <c r="H47" s="4" t="n">
        <v>46310</v>
      </c>
      <c r="I47" s="5" t="n">
        <v>9.4</v>
      </c>
      <c r="J47" s="2" t="s">
        <v>16</v>
      </c>
    </row>
    <row r="48" customFormat="false" ht="15" hidden="true" customHeight="false" outlineLevel="0" collapsed="false">
      <c r="A48" s="2" t="n">
        <v>47</v>
      </c>
      <c r="B48" s="3" t="s">
        <v>166</v>
      </c>
      <c r="C48" s="3" t="s">
        <v>167</v>
      </c>
      <c r="D48" s="2" t="s">
        <v>168</v>
      </c>
      <c r="E48" s="2" t="s">
        <v>51</v>
      </c>
      <c r="F48" s="3" t="s">
        <v>21</v>
      </c>
      <c r="G48" s="3" t="s">
        <v>52</v>
      </c>
      <c r="H48" s="4" t="n">
        <v>46301</v>
      </c>
      <c r="I48" s="5" t="n">
        <v>6.2</v>
      </c>
      <c r="J48" s="2" t="s">
        <v>16</v>
      </c>
    </row>
    <row r="49" customFormat="false" ht="15" hidden="true" customHeight="false" outlineLevel="0" collapsed="false">
      <c r="A49" s="2" t="n">
        <v>48</v>
      </c>
      <c r="B49" s="3" t="s">
        <v>169</v>
      </c>
      <c r="C49" s="3" t="s">
        <v>170</v>
      </c>
      <c r="D49" s="2" t="s">
        <v>171</v>
      </c>
      <c r="E49" s="2" t="s">
        <v>27</v>
      </c>
      <c r="F49" s="3" t="s">
        <v>21</v>
      </c>
      <c r="G49" s="3" t="s">
        <v>28</v>
      </c>
      <c r="H49" s="4" t="n">
        <v>46307</v>
      </c>
      <c r="I49" s="5" t="n">
        <v>7.6</v>
      </c>
      <c r="J49" s="2" t="s">
        <v>16</v>
      </c>
    </row>
    <row r="50" customFormat="false" ht="15" hidden="false" customHeight="false" outlineLevel="0" collapsed="false">
      <c r="A50" s="2" t="n">
        <v>49</v>
      </c>
      <c r="B50" s="3" t="s">
        <v>172</v>
      </c>
      <c r="C50" s="3" t="s">
        <v>173</v>
      </c>
      <c r="D50" s="2" t="s">
        <v>174</v>
      </c>
      <c r="E50" s="2" t="s">
        <v>36</v>
      </c>
      <c r="F50" s="3" t="s">
        <v>21</v>
      </c>
      <c r="G50" s="3" t="s">
        <v>37</v>
      </c>
      <c r="H50" s="4" t="n">
        <v>46299</v>
      </c>
      <c r="I50" s="5" t="n">
        <v>4.7</v>
      </c>
      <c r="J50" s="2" t="s">
        <v>23</v>
      </c>
    </row>
    <row r="51" customFormat="false" ht="15" hidden="true" customHeight="false" outlineLevel="0" collapsed="false">
      <c r="A51" s="2" t="n">
        <v>50</v>
      </c>
      <c r="B51" s="3" t="s">
        <v>175</v>
      </c>
      <c r="C51" s="3" t="s">
        <v>176</v>
      </c>
      <c r="D51" s="2" t="s">
        <v>177</v>
      </c>
      <c r="E51" s="2" t="s">
        <v>36</v>
      </c>
      <c r="F51" s="3" t="s">
        <v>32</v>
      </c>
      <c r="G51" s="3" t="s">
        <v>15</v>
      </c>
      <c r="H51" s="4" t="n">
        <v>46310</v>
      </c>
      <c r="I51" s="5" t="n">
        <v>9.9</v>
      </c>
      <c r="J51" s="2" t="s">
        <v>16</v>
      </c>
    </row>
    <row r="52" customFormat="false" ht="15" hidden="false" customHeight="false" outlineLevel="0" collapsed="false">
      <c r="A52" s="2" t="n">
        <v>51</v>
      </c>
      <c r="B52" s="3" t="s">
        <v>178</v>
      </c>
      <c r="C52" s="3" t="s">
        <v>179</v>
      </c>
      <c r="D52" s="2" t="s">
        <v>180</v>
      </c>
      <c r="E52" s="2" t="s">
        <v>36</v>
      </c>
      <c r="F52" s="3" t="s">
        <v>32</v>
      </c>
      <c r="G52" s="3" t="s">
        <v>52</v>
      </c>
      <c r="H52" s="4" t="n">
        <v>46320</v>
      </c>
      <c r="I52" s="5" t="n">
        <v>6.5</v>
      </c>
      <c r="J52" s="2" t="s">
        <v>16</v>
      </c>
    </row>
    <row r="53" customFormat="false" ht="15" hidden="true" customHeight="false" outlineLevel="0" collapsed="false">
      <c r="A53" s="2" t="n">
        <v>52</v>
      </c>
      <c r="B53" s="3" t="s">
        <v>181</v>
      </c>
      <c r="C53" s="3" t="s">
        <v>182</v>
      </c>
      <c r="D53" s="2" t="s">
        <v>183</v>
      </c>
      <c r="E53" s="2" t="s">
        <v>51</v>
      </c>
      <c r="F53" s="3" t="s">
        <v>21</v>
      </c>
      <c r="G53" s="3" t="s">
        <v>15</v>
      </c>
      <c r="H53" s="4" t="n">
        <v>46310</v>
      </c>
      <c r="I53" s="5" t="n">
        <v>7.5</v>
      </c>
      <c r="J53" s="2" t="s">
        <v>16</v>
      </c>
    </row>
    <row r="54" customFormat="false" ht="15" hidden="true" customHeight="false" outlineLevel="0" collapsed="false">
      <c r="A54" s="2" t="n">
        <v>53</v>
      </c>
      <c r="B54" s="3" t="s">
        <v>184</v>
      </c>
      <c r="C54" s="3" t="s">
        <v>185</v>
      </c>
      <c r="D54" s="2" t="s">
        <v>186</v>
      </c>
      <c r="E54" s="2" t="s">
        <v>27</v>
      </c>
      <c r="F54" s="3" t="s">
        <v>32</v>
      </c>
      <c r="G54" s="3" t="s">
        <v>52</v>
      </c>
      <c r="H54" s="4" t="n">
        <v>46297</v>
      </c>
      <c r="I54" s="5" t="n">
        <v>8.3</v>
      </c>
      <c r="J54" s="2" t="s">
        <v>23</v>
      </c>
    </row>
    <row r="55" customFormat="false" ht="15" hidden="true" customHeight="false" outlineLevel="0" collapsed="false">
      <c r="A55" s="2" t="n">
        <v>54</v>
      </c>
      <c r="B55" s="3" t="s">
        <v>187</v>
      </c>
      <c r="C55" s="3" t="s">
        <v>188</v>
      </c>
      <c r="D55" s="2" t="s">
        <v>189</v>
      </c>
      <c r="E55" s="2" t="s">
        <v>20</v>
      </c>
      <c r="F55" s="3" t="s">
        <v>21</v>
      </c>
      <c r="G55" s="3" t="s">
        <v>78</v>
      </c>
      <c r="H55" s="4" t="n">
        <v>46306</v>
      </c>
      <c r="I55" s="5" t="n">
        <v>7.4</v>
      </c>
      <c r="J55" s="2" t="s">
        <v>16</v>
      </c>
    </row>
    <row r="56" customFormat="false" ht="15" hidden="false" customHeight="false" outlineLevel="0" collapsed="false">
      <c r="A56" s="2" t="n">
        <v>55</v>
      </c>
      <c r="B56" s="3" t="s">
        <v>190</v>
      </c>
      <c r="C56" s="3" t="s">
        <v>191</v>
      </c>
      <c r="D56" s="2" t="s">
        <v>192</v>
      </c>
      <c r="E56" s="2" t="s">
        <v>36</v>
      </c>
      <c r="F56" s="3" t="s">
        <v>41</v>
      </c>
      <c r="G56" s="3" t="s">
        <v>56</v>
      </c>
      <c r="H56" s="4" t="n">
        <v>46319</v>
      </c>
      <c r="I56" s="5" t="n">
        <v>5.4</v>
      </c>
      <c r="J56" s="2" t="s">
        <v>23</v>
      </c>
    </row>
    <row r="57" customFormat="false" ht="15" hidden="true" customHeight="false" outlineLevel="0" collapsed="false">
      <c r="A57" s="2" t="n">
        <v>56</v>
      </c>
      <c r="B57" s="3" t="s">
        <v>193</v>
      </c>
      <c r="C57" s="3" t="s">
        <v>194</v>
      </c>
      <c r="D57" s="2" t="s">
        <v>195</v>
      </c>
      <c r="E57" s="2" t="s">
        <v>51</v>
      </c>
      <c r="F57" s="3" t="s">
        <v>41</v>
      </c>
      <c r="G57" s="3" t="s">
        <v>78</v>
      </c>
      <c r="H57" s="4" t="n">
        <v>46299</v>
      </c>
      <c r="I57" s="5" t="n">
        <v>7.3</v>
      </c>
      <c r="J57" s="2" t="s">
        <v>16</v>
      </c>
    </row>
    <row r="58" customFormat="false" ht="15" hidden="true" customHeight="false" outlineLevel="0" collapsed="false">
      <c r="A58" s="2" t="n">
        <v>57</v>
      </c>
      <c r="B58" s="3" t="s">
        <v>196</v>
      </c>
      <c r="C58" s="3" t="s">
        <v>197</v>
      </c>
      <c r="D58" s="2" t="s">
        <v>198</v>
      </c>
      <c r="E58" s="2" t="s">
        <v>13</v>
      </c>
      <c r="F58" s="3" t="s">
        <v>21</v>
      </c>
      <c r="G58" s="3" t="s">
        <v>28</v>
      </c>
      <c r="H58" s="4" t="n">
        <v>46320</v>
      </c>
      <c r="I58" s="5" t="n">
        <v>9.4</v>
      </c>
      <c r="J58" s="2" t="s">
        <v>16</v>
      </c>
    </row>
    <row r="59" customFormat="false" ht="15" hidden="true" customHeight="false" outlineLevel="0" collapsed="false">
      <c r="A59" s="2" t="n">
        <v>58</v>
      </c>
      <c r="B59" s="3" t="s">
        <v>199</v>
      </c>
      <c r="C59" s="3" t="s">
        <v>200</v>
      </c>
      <c r="D59" s="2" t="s">
        <v>201</v>
      </c>
      <c r="E59" s="2" t="s">
        <v>36</v>
      </c>
      <c r="F59" s="3" t="s">
        <v>32</v>
      </c>
      <c r="G59" s="3" t="s">
        <v>78</v>
      </c>
      <c r="H59" s="4" t="n">
        <v>46316</v>
      </c>
      <c r="I59" s="5" t="n">
        <v>7.7</v>
      </c>
      <c r="J59" s="2" t="s">
        <v>23</v>
      </c>
    </row>
    <row r="60" customFormat="false" ht="15" hidden="true" customHeight="false" outlineLevel="0" collapsed="false">
      <c r="A60" s="2" t="n">
        <v>59</v>
      </c>
      <c r="B60" s="3" t="s">
        <v>202</v>
      </c>
      <c r="C60" s="3" t="s">
        <v>203</v>
      </c>
      <c r="D60" s="2" t="s">
        <v>204</v>
      </c>
      <c r="E60" s="2" t="s">
        <v>36</v>
      </c>
      <c r="F60" s="3" t="s">
        <v>21</v>
      </c>
      <c r="G60" s="3" t="s">
        <v>56</v>
      </c>
      <c r="H60" s="4" t="n">
        <v>46311</v>
      </c>
      <c r="I60" s="5" t="n">
        <v>7.1</v>
      </c>
      <c r="J60" s="2" t="s">
        <v>16</v>
      </c>
    </row>
    <row r="61" customFormat="false" ht="15" hidden="true" customHeight="false" outlineLevel="0" collapsed="false">
      <c r="A61" s="2" t="n">
        <v>60</v>
      </c>
      <c r="B61" s="3" t="s">
        <v>205</v>
      </c>
      <c r="C61" s="3" t="s">
        <v>206</v>
      </c>
      <c r="D61" s="2" t="s">
        <v>207</v>
      </c>
      <c r="E61" s="2" t="s">
        <v>36</v>
      </c>
      <c r="F61" s="3" t="s">
        <v>21</v>
      </c>
      <c r="G61" s="3" t="s">
        <v>37</v>
      </c>
      <c r="H61" s="4" t="n">
        <v>46303</v>
      </c>
      <c r="I61" s="5" t="n">
        <v>7.1</v>
      </c>
      <c r="J61" s="2" t="s">
        <v>16</v>
      </c>
    </row>
    <row r="62" customFormat="false" ht="15" hidden="true" customHeight="false" outlineLevel="0" collapsed="false">
      <c r="A62" s="2" t="n">
        <v>61</v>
      </c>
      <c r="B62" s="3" t="s">
        <v>208</v>
      </c>
      <c r="C62" s="3" t="s">
        <v>209</v>
      </c>
      <c r="D62" s="2" t="s">
        <v>210</v>
      </c>
      <c r="E62" s="2" t="s">
        <v>27</v>
      </c>
      <c r="F62" s="3" t="s">
        <v>21</v>
      </c>
      <c r="G62" s="3" t="s">
        <v>52</v>
      </c>
      <c r="H62" s="4" t="n">
        <v>46316</v>
      </c>
      <c r="I62" s="5" t="n">
        <v>3.6</v>
      </c>
      <c r="J62" s="2" t="s">
        <v>16</v>
      </c>
    </row>
    <row r="63" customFormat="false" ht="15" hidden="true" customHeight="false" outlineLevel="0" collapsed="false">
      <c r="A63" s="2" t="n">
        <v>62</v>
      </c>
      <c r="B63" s="3" t="s">
        <v>211</v>
      </c>
      <c r="C63" s="3" t="s">
        <v>212</v>
      </c>
      <c r="D63" s="2" t="s">
        <v>213</v>
      </c>
      <c r="E63" s="2" t="s">
        <v>36</v>
      </c>
      <c r="F63" s="3" t="s">
        <v>14</v>
      </c>
      <c r="G63" s="3" t="s">
        <v>52</v>
      </c>
      <c r="H63" s="4" t="n">
        <v>46300</v>
      </c>
      <c r="I63" s="5" t="n">
        <v>9.8</v>
      </c>
      <c r="J63" s="2" t="s">
        <v>16</v>
      </c>
    </row>
    <row r="64" customFormat="false" ht="15" hidden="false" customHeight="false" outlineLevel="0" collapsed="false">
      <c r="A64" s="2" t="n">
        <v>63</v>
      </c>
      <c r="B64" s="3" t="s">
        <v>214</v>
      </c>
      <c r="C64" s="3" t="s">
        <v>215</v>
      </c>
      <c r="D64" s="2" t="s">
        <v>216</v>
      </c>
      <c r="E64" s="2" t="s">
        <v>36</v>
      </c>
      <c r="F64" s="3" t="s">
        <v>32</v>
      </c>
      <c r="G64" s="3" t="s">
        <v>56</v>
      </c>
      <c r="H64" s="4" t="n">
        <v>46308</v>
      </c>
      <c r="I64" s="5" t="n">
        <v>5.5</v>
      </c>
      <c r="J64" s="2" t="s">
        <v>16</v>
      </c>
    </row>
    <row r="65" customFormat="false" ht="15" hidden="true" customHeight="false" outlineLevel="0" collapsed="false">
      <c r="A65" s="2" t="n">
        <v>64</v>
      </c>
      <c r="B65" s="3" t="s">
        <v>217</v>
      </c>
      <c r="C65" s="3" t="s">
        <v>218</v>
      </c>
      <c r="D65" s="2" t="s">
        <v>219</v>
      </c>
      <c r="E65" s="2" t="s">
        <v>27</v>
      </c>
      <c r="F65" s="3" t="s">
        <v>41</v>
      </c>
      <c r="G65" s="3" t="s">
        <v>52</v>
      </c>
      <c r="H65" s="4" t="n">
        <v>46312</v>
      </c>
      <c r="I65" s="5" t="n">
        <v>4.3</v>
      </c>
      <c r="J65" s="2" t="s">
        <v>16</v>
      </c>
    </row>
    <row r="66" customFormat="false" ht="15" hidden="true" customHeight="false" outlineLevel="0" collapsed="false">
      <c r="A66" s="2" t="n">
        <v>65</v>
      </c>
      <c r="B66" s="3" t="s">
        <v>220</v>
      </c>
      <c r="C66" s="3" t="s">
        <v>221</v>
      </c>
      <c r="D66" s="2" t="s">
        <v>222</v>
      </c>
      <c r="E66" s="2" t="s">
        <v>51</v>
      </c>
      <c r="F66" s="3" t="s">
        <v>21</v>
      </c>
      <c r="G66" s="3" t="s">
        <v>78</v>
      </c>
      <c r="H66" s="4" t="n">
        <v>46310</v>
      </c>
      <c r="I66" s="5" t="n">
        <v>8.9</v>
      </c>
      <c r="J66" s="2" t="s">
        <v>16</v>
      </c>
    </row>
    <row r="67" customFormat="false" ht="15" hidden="true" customHeight="false" outlineLevel="0" collapsed="false">
      <c r="A67" s="2" t="n">
        <v>66</v>
      </c>
      <c r="B67" s="3" t="s">
        <v>223</v>
      </c>
      <c r="C67" s="3" t="s">
        <v>224</v>
      </c>
      <c r="D67" s="2" t="s">
        <v>225</v>
      </c>
      <c r="E67" s="2" t="s">
        <v>13</v>
      </c>
      <c r="F67" s="3" t="s">
        <v>21</v>
      </c>
      <c r="G67" s="3" t="s">
        <v>56</v>
      </c>
      <c r="H67" s="4" t="n">
        <v>46305</v>
      </c>
      <c r="I67" s="5" t="n">
        <v>4.2</v>
      </c>
      <c r="J67" s="2" t="s">
        <v>16</v>
      </c>
    </row>
    <row r="68" customFormat="false" ht="15" hidden="true" customHeight="false" outlineLevel="0" collapsed="false">
      <c r="A68" s="2" t="n">
        <v>67</v>
      </c>
      <c r="B68" s="3" t="s">
        <v>226</v>
      </c>
      <c r="C68" s="3" t="s">
        <v>227</v>
      </c>
      <c r="D68" s="2" t="s">
        <v>228</v>
      </c>
      <c r="E68" s="2" t="s">
        <v>51</v>
      </c>
      <c r="F68" s="3" t="s">
        <v>21</v>
      </c>
      <c r="G68" s="3" t="s">
        <v>37</v>
      </c>
      <c r="H68" s="4" t="n">
        <v>46300</v>
      </c>
      <c r="I68" s="5" t="n">
        <v>4.8</v>
      </c>
      <c r="J68" s="2" t="s">
        <v>16</v>
      </c>
    </row>
    <row r="69" customFormat="false" ht="15" hidden="true" customHeight="false" outlineLevel="0" collapsed="false">
      <c r="A69" s="2" t="n">
        <v>68</v>
      </c>
      <c r="B69" s="3" t="s">
        <v>98</v>
      </c>
      <c r="C69" s="3" t="s">
        <v>229</v>
      </c>
      <c r="D69" s="2" t="s">
        <v>230</v>
      </c>
      <c r="E69" s="2" t="s">
        <v>51</v>
      </c>
      <c r="F69" s="3" t="s">
        <v>14</v>
      </c>
      <c r="G69" s="3" t="s">
        <v>28</v>
      </c>
      <c r="H69" s="4" t="n">
        <v>46319</v>
      </c>
      <c r="I69" s="5" t="n">
        <v>4.6</v>
      </c>
      <c r="J69" s="2" t="s">
        <v>16</v>
      </c>
    </row>
    <row r="70" customFormat="false" ht="15" hidden="true" customHeight="false" outlineLevel="0" collapsed="false">
      <c r="A70" s="2" t="n">
        <v>69</v>
      </c>
      <c r="B70" s="3" t="s">
        <v>231</v>
      </c>
      <c r="C70" s="3" t="s">
        <v>232</v>
      </c>
      <c r="D70" s="2" t="s">
        <v>233</v>
      </c>
      <c r="E70" s="2" t="s">
        <v>51</v>
      </c>
      <c r="F70" s="3" t="s">
        <v>21</v>
      </c>
      <c r="G70" s="3" t="s">
        <v>37</v>
      </c>
      <c r="H70" s="4" t="n">
        <v>46306</v>
      </c>
      <c r="I70" s="5" t="n">
        <v>5</v>
      </c>
      <c r="J70" s="2" t="s">
        <v>16</v>
      </c>
    </row>
    <row r="71" customFormat="false" ht="15" hidden="true" customHeight="false" outlineLevel="0" collapsed="false">
      <c r="A71" s="2" t="n">
        <v>70</v>
      </c>
      <c r="B71" s="3" t="s">
        <v>234</v>
      </c>
      <c r="C71" s="3" t="s">
        <v>235</v>
      </c>
      <c r="D71" s="2" t="s">
        <v>236</v>
      </c>
      <c r="E71" s="2" t="s">
        <v>51</v>
      </c>
      <c r="F71" s="3" t="s">
        <v>41</v>
      </c>
      <c r="G71" s="3" t="s">
        <v>22</v>
      </c>
      <c r="H71" s="4" t="n">
        <v>46309</v>
      </c>
      <c r="I71" s="5" t="n">
        <v>9.1</v>
      </c>
      <c r="J71" s="2" t="s">
        <v>23</v>
      </c>
    </row>
    <row r="72" customFormat="false" ht="15" hidden="true" customHeight="false" outlineLevel="0" collapsed="false">
      <c r="A72" s="2" t="n">
        <v>71</v>
      </c>
      <c r="B72" s="3" t="s">
        <v>237</v>
      </c>
      <c r="C72" s="3" t="s">
        <v>238</v>
      </c>
      <c r="D72" s="2" t="s">
        <v>239</v>
      </c>
      <c r="E72" s="2" t="s">
        <v>20</v>
      </c>
      <c r="F72" s="3" t="s">
        <v>32</v>
      </c>
      <c r="G72" s="3" t="s">
        <v>56</v>
      </c>
      <c r="H72" s="4" t="n">
        <v>46308</v>
      </c>
      <c r="I72" s="5" t="n">
        <v>6.3</v>
      </c>
      <c r="J72" s="2" t="s">
        <v>16</v>
      </c>
    </row>
    <row r="73" customFormat="false" ht="15" hidden="true" customHeight="false" outlineLevel="0" collapsed="false">
      <c r="A73" s="2" t="n">
        <v>72</v>
      </c>
      <c r="B73" s="3" t="s">
        <v>240</v>
      </c>
      <c r="C73" s="3" t="s">
        <v>241</v>
      </c>
      <c r="D73" s="2" t="s">
        <v>242</v>
      </c>
      <c r="E73" s="2" t="s">
        <v>51</v>
      </c>
      <c r="F73" s="3" t="s">
        <v>32</v>
      </c>
      <c r="G73" s="3" t="s">
        <v>52</v>
      </c>
      <c r="H73" s="4" t="n">
        <v>46316</v>
      </c>
      <c r="I73" s="5" t="n">
        <v>6.2</v>
      </c>
      <c r="J73" s="2" t="s">
        <v>16</v>
      </c>
    </row>
    <row r="74" customFormat="false" ht="15" hidden="false" customHeight="false" outlineLevel="0" collapsed="false">
      <c r="A74" s="2" t="n">
        <v>73</v>
      </c>
      <c r="B74" s="3" t="s">
        <v>243</v>
      </c>
      <c r="C74" s="3" t="s">
        <v>244</v>
      </c>
      <c r="D74" s="2" t="s">
        <v>245</v>
      </c>
      <c r="E74" s="2" t="s">
        <v>36</v>
      </c>
      <c r="F74" s="3" t="s">
        <v>41</v>
      </c>
      <c r="G74" s="3" t="s">
        <v>52</v>
      </c>
      <c r="H74" s="4" t="n">
        <v>46311</v>
      </c>
      <c r="I74" s="5" t="n">
        <v>4.1</v>
      </c>
      <c r="J74" s="2" t="s">
        <v>16</v>
      </c>
    </row>
    <row r="75" customFormat="false" ht="15" hidden="true" customHeight="false" outlineLevel="0" collapsed="false">
      <c r="A75" s="2" t="n">
        <v>74</v>
      </c>
      <c r="B75" s="3" t="s">
        <v>246</v>
      </c>
      <c r="C75" s="3" t="s">
        <v>247</v>
      </c>
      <c r="D75" s="2" t="s">
        <v>248</v>
      </c>
      <c r="E75" s="2" t="s">
        <v>20</v>
      </c>
      <c r="F75" s="3" t="s">
        <v>21</v>
      </c>
      <c r="G75" s="3" t="s">
        <v>15</v>
      </c>
      <c r="H75" s="4" t="n">
        <v>46310</v>
      </c>
      <c r="I75" s="5" t="n">
        <v>5.8</v>
      </c>
      <c r="J75" s="2" t="s">
        <v>16</v>
      </c>
    </row>
    <row r="76" customFormat="false" ht="15" hidden="true" customHeight="false" outlineLevel="0" collapsed="false">
      <c r="A76" s="2" t="n">
        <v>75</v>
      </c>
      <c r="B76" s="3" t="s">
        <v>249</v>
      </c>
      <c r="C76" s="3" t="s">
        <v>250</v>
      </c>
      <c r="D76" s="2" t="s">
        <v>251</v>
      </c>
      <c r="E76" s="2" t="s">
        <v>36</v>
      </c>
      <c r="F76" s="3" t="s">
        <v>21</v>
      </c>
      <c r="G76" s="3" t="s">
        <v>56</v>
      </c>
      <c r="H76" s="4" t="n">
        <v>46307</v>
      </c>
      <c r="I76" s="5" t="n">
        <v>7.4</v>
      </c>
      <c r="J76" s="2" t="s">
        <v>23</v>
      </c>
    </row>
    <row r="77" customFormat="false" ht="15" hidden="true" customHeight="false" outlineLevel="0" collapsed="false">
      <c r="A77" s="2" t="n">
        <v>76</v>
      </c>
      <c r="B77" s="3" t="s">
        <v>252</v>
      </c>
      <c r="C77" s="3" t="s">
        <v>253</v>
      </c>
      <c r="D77" s="2" t="s">
        <v>254</v>
      </c>
      <c r="E77" s="2" t="s">
        <v>20</v>
      </c>
      <c r="F77" s="3" t="s">
        <v>32</v>
      </c>
      <c r="G77" s="3" t="s">
        <v>28</v>
      </c>
      <c r="H77" s="4" t="n">
        <v>46306</v>
      </c>
      <c r="I77" s="5" t="n">
        <v>5</v>
      </c>
      <c r="J77" s="2" t="s">
        <v>23</v>
      </c>
    </row>
    <row r="78" customFormat="false" ht="15" hidden="true" customHeight="false" outlineLevel="0" collapsed="false">
      <c r="A78" s="2" t="n">
        <v>77</v>
      </c>
      <c r="B78" s="3" t="s">
        <v>255</v>
      </c>
      <c r="C78" s="3" t="s">
        <v>256</v>
      </c>
      <c r="D78" s="2" t="s">
        <v>257</v>
      </c>
      <c r="E78" s="2" t="s">
        <v>20</v>
      </c>
      <c r="F78" s="3" t="s">
        <v>14</v>
      </c>
      <c r="G78" s="3" t="s">
        <v>28</v>
      </c>
      <c r="H78" s="4" t="n">
        <v>46305</v>
      </c>
      <c r="I78" s="5" t="n">
        <v>4.9</v>
      </c>
      <c r="J78" s="2" t="s">
        <v>23</v>
      </c>
    </row>
    <row r="79" customFormat="false" ht="15" hidden="true" customHeight="false" outlineLevel="0" collapsed="false">
      <c r="A79" s="2" t="n">
        <v>78</v>
      </c>
      <c r="B79" s="3" t="s">
        <v>258</v>
      </c>
      <c r="C79" s="3" t="s">
        <v>259</v>
      </c>
      <c r="D79" s="2" t="s">
        <v>260</v>
      </c>
      <c r="E79" s="2" t="s">
        <v>36</v>
      </c>
      <c r="F79" s="3" t="s">
        <v>32</v>
      </c>
      <c r="G79" s="3" t="s">
        <v>22</v>
      </c>
      <c r="H79" s="4" t="n">
        <v>46303</v>
      </c>
      <c r="I79" s="5" t="n">
        <v>8</v>
      </c>
      <c r="J79" s="2" t="s">
        <v>16</v>
      </c>
    </row>
    <row r="80" customFormat="false" ht="15" hidden="true" customHeight="false" outlineLevel="0" collapsed="false">
      <c r="A80" s="2" t="n">
        <v>79</v>
      </c>
      <c r="B80" s="3" t="s">
        <v>261</v>
      </c>
      <c r="C80" s="3" t="s">
        <v>262</v>
      </c>
      <c r="D80" s="2" t="s">
        <v>263</v>
      </c>
      <c r="E80" s="2" t="s">
        <v>13</v>
      </c>
      <c r="F80" s="3" t="s">
        <v>14</v>
      </c>
      <c r="G80" s="3" t="s">
        <v>37</v>
      </c>
      <c r="H80" s="4" t="n">
        <v>46307</v>
      </c>
      <c r="I80" s="5" t="n">
        <v>8.4</v>
      </c>
      <c r="J80" s="2" t="s">
        <v>16</v>
      </c>
    </row>
    <row r="81" customFormat="false" ht="15" hidden="true" customHeight="false" outlineLevel="0" collapsed="false">
      <c r="A81" s="2" t="n">
        <v>80</v>
      </c>
      <c r="B81" s="3" t="s">
        <v>264</v>
      </c>
      <c r="C81" s="3" t="s">
        <v>265</v>
      </c>
      <c r="D81" s="2" t="s">
        <v>266</v>
      </c>
      <c r="E81" s="2" t="s">
        <v>20</v>
      </c>
      <c r="F81" s="3" t="s">
        <v>41</v>
      </c>
      <c r="G81" s="3" t="s">
        <v>85</v>
      </c>
      <c r="H81" s="4" t="n">
        <v>46307</v>
      </c>
      <c r="I81" s="5" t="n">
        <v>9.1</v>
      </c>
      <c r="J81" s="2" t="s">
        <v>16</v>
      </c>
    </row>
    <row r="82" customFormat="false" ht="15" hidden="false" customHeight="false" outlineLevel="0" collapsed="false">
      <c r="A82" s="2" t="n">
        <v>81</v>
      </c>
      <c r="B82" s="3" t="s">
        <v>267</v>
      </c>
      <c r="C82" s="3" t="s">
        <v>268</v>
      </c>
      <c r="D82" s="2" t="s">
        <v>269</v>
      </c>
      <c r="E82" s="2" t="s">
        <v>36</v>
      </c>
      <c r="F82" s="3" t="s">
        <v>21</v>
      </c>
      <c r="G82" s="3" t="s">
        <v>56</v>
      </c>
      <c r="H82" s="4" t="n">
        <v>46302</v>
      </c>
      <c r="I82" s="5" t="n">
        <v>3.8</v>
      </c>
      <c r="J82" s="2" t="s">
        <v>16</v>
      </c>
    </row>
    <row r="83" customFormat="false" ht="15" hidden="true" customHeight="false" outlineLevel="0" collapsed="false">
      <c r="A83" s="2" t="n">
        <v>82</v>
      </c>
      <c r="B83" s="3" t="s">
        <v>270</v>
      </c>
      <c r="C83" s="3" t="s">
        <v>271</v>
      </c>
      <c r="D83" s="2" t="s">
        <v>272</v>
      </c>
      <c r="E83" s="2" t="s">
        <v>13</v>
      </c>
      <c r="F83" s="3" t="s">
        <v>41</v>
      </c>
      <c r="G83" s="3" t="s">
        <v>52</v>
      </c>
      <c r="H83" s="4" t="n">
        <v>46299</v>
      </c>
      <c r="I83" s="5" t="n">
        <v>8</v>
      </c>
      <c r="J83" s="2" t="s">
        <v>16</v>
      </c>
    </row>
    <row r="84" customFormat="false" ht="15" hidden="true" customHeight="false" outlineLevel="0" collapsed="false">
      <c r="A84" s="2" t="n">
        <v>83</v>
      </c>
      <c r="B84" s="3" t="s">
        <v>273</v>
      </c>
      <c r="C84" s="3" t="s">
        <v>274</v>
      </c>
      <c r="D84" s="2" t="s">
        <v>275</v>
      </c>
      <c r="E84" s="2" t="s">
        <v>51</v>
      </c>
      <c r="F84" s="3" t="s">
        <v>14</v>
      </c>
      <c r="G84" s="3" t="s">
        <v>15</v>
      </c>
      <c r="H84" s="4" t="n">
        <v>46307</v>
      </c>
      <c r="I84" s="5" t="n">
        <v>4.7</v>
      </c>
      <c r="J84" s="2" t="s">
        <v>16</v>
      </c>
    </row>
    <row r="85" customFormat="false" ht="15" hidden="true" customHeight="false" outlineLevel="0" collapsed="false">
      <c r="A85" s="2" t="n">
        <v>84</v>
      </c>
      <c r="B85" s="3" t="s">
        <v>276</v>
      </c>
      <c r="C85" s="3" t="s">
        <v>277</v>
      </c>
      <c r="D85" s="2" t="s">
        <v>278</v>
      </c>
      <c r="E85" s="2" t="s">
        <v>13</v>
      </c>
      <c r="F85" s="3" t="s">
        <v>41</v>
      </c>
      <c r="G85" s="3" t="s">
        <v>56</v>
      </c>
      <c r="H85" s="4" t="n">
        <v>46309</v>
      </c>
      <c r="I85" s="5" t="n">
        <v>8.6</v>
      </c>
      <c r="J85" s="2" t="s">
        <v>16</v>
      </c>
    </row>
    <row r="86" customFormat="false" ht="15" hidden="true" customHeight="false" outlineLevel="0" collapsed="false">
      <c r="A86" s="2" t="n">
        <v>85</v>
      </c>
      <c r="B86" s="3" t="s">
        <v>279</v>
      </c>
      <c r="C86" s="3" t="s">
        <v>280</v>
      </c>
      <c r="D86" s="2" t="s">
        <v>281</v>
      </c>
      <c r="E86" s="2" t="s">
        <v>13</v>
      </c>
      <c r="F86" s="3" t="s">
        <v>14</v>
      </c>
      <c r="G86" s="3" t="s">
        <v>28</v>
      </c>
      <c r="H86" s="4" t="n">
        <v>46301</v>
      </c>
      <c r="I86" s="5" t="n">
        <v>3.7</v>
      </c>
      <c r="J86" s="2" t="s">
        <v>16</v>
      </c>
    </row>
    <row r="87" customFormat="false" ht="15" hidden="false" customHeight="false" outlineLevel="0" collapsed="false">
      <c r="A87" s="2" t="n">
        <v>86</v>
      </c>
      <c r="B87" s="3" t="s">
        <v>282</v>
      </c>
      <c r="C87" s="3" t="s">
        <v>283</v>
      </c>
      <c r="D87" s="2" t="s">
        <v>284</v>
      </c>
      <c r="E87" s="2" t="s">
        <v>36</v>
      </c>
      <c r="F87" s="3" t="s">
        <v>21</v>
      </c>
      <c r="G87" s="3" t="s">
        <v>28</v>
      </c>
      <c r="H87" s="4" t="n">
        <v>46313</v>
      </c>
      <c r="I87" s="5" t="n">
        <v>4.1</v>
      </c>
      <c r="J87" s="2" t="s">
        <v>16</v>
      </c>
    </row>
    <row r="88" customFormat="false" ht="15" hidden="false" customHeight="false" outlineLevel="0" collapsed="false">
      <c r="A88" s="2" t="n">
        <v>87</v>
      </c>
      <c r="B88" s="3" t="s">
        <v>285</v>
      </c>
      <c r="C88" s="3" t="s">
        <v>286</v>
      </c>
      <c r="D88" s="2" t="s">
        <v>287</v>
      </c>
      <c r="E88" s="2" t="s">
        <v>36</v>
      </c>
      <c r="F88" s="3" t="s">
        <v>14</v>
      </c>
      <c r="G88" s="3" t="s">
        <v>37</v>
      </c>
      <c r="H88" s="4" t="n">
        <v>46313</v>
      </c>
      <c r="I88" s="5" t="n">
        <v>5.1</v>
      </c>
      <c r="J88" s="2" t="s">
        <v>16</v>
      </c>
    </row>
    <row r="89" customFormat="false" ht="15" hidden="true" customHeight="false" outlineLevel="0" collapsed="false">
      <c r="A89" s="2" t="n">
        <v>88</v>
      </c>
      <c r="B89" s="3" t="s">
        <v>288</v>
      </c>
      <c r="C89" s="3" t="s">
        <v>289</v>
      </c>
      <c r="D89" s="2" t="s">
        <v>290</v>
      </c>
      <c r="E89" s="2" t="s">
        <v>13</v>
      </c>
      <c r="F89" s="3" t="s">
        <v>41</v>
      </c>
      <c r="G89" s="3" t="s">
        <v>22</v>
      </c>
      <c r="H89" s="4" t="n">
        <v>46321</v>
      </c>
      <c r="I89" s="5" t="n">
        <v>9</v>
      </c>
      <c r="J89" s="2" t="s">
        <v>16</v>
      </c>
    </row>
    <row r="90" customFormat="false" ht="15" hidden="false" customHeight="false" outlineLevel="0" collapsed="false">
      <c r="A90" s="2" t="n">
        <v>89</v>
      </c>
      <c r="B90" s="3" t="s">
        <v>291</v>
      </c>
      <c r="C90" s="3" t="s">
        <v>292</v>
      </c>
      <c r="D90" s="2" t="s">
        <v>293</v>
      </c>
      <c r="E90" s="2" t="s">
        <v>36</v>
      </c>
      <c r="F90" s="3" t="s">
        <v>21</v>
      </c>
      <c r="G90" s="3" t="s">
        <v>37</v>
      </c>
      <c r="H90" s="4" t="n">
        <v>46305</v>
      </c>
      <c r="I90" s="5" t="n">
        <v>4</v>
      </c>
      <c r="J90" s="2" t="s">
        <v>16</v>
      </c>
    </row>
    <row r="91" customFormat="false" ht="15" hidden="false" customHeight="false" outlineLevel="0" collapsed="false">
      <c r="A91" s="2" t="n">
        <v>90</v>
      </c>
      <c r="B91" s="3" t="s">
        <v>294</v>
      </c>
      <c r="C91" s="3" t="s">
        <v>295</v>
      </c>
      <c r="D91" s="2" t="s">
        <v>296</v>
      </c>
      <c r="E91" s="2" t="s">
        <v>36</v>
      </c>
      <c r="F91" s="3" t="s">
        <v>32</v>
      </c>
      <c r="G91" s="3" t="s">
        <v>78</v>
      </c>
      <c r="H91" s="4" t="n">
        <v>46296</v>
      </c>
      <c r="I91" s="5" t="n">
        <v>3.7</v>
      </c>
      <c r="J91" s="2" t="s">
        <v>23</v>
      </c>
    </row>
    <row r="92" customFormat="false" ht="15" hidden="true" customHeight="false" outlineLevel="0" collapsed="false">
      <c r="A92" s="2" t="n">
        <v>91</v>
      </c>
      <c r="B92" s="3" t="s">
        <v>297</v>
      </c>
      <c r="C92" s="3" t="s">
        <v>298</v>
      </c>
      <c r="D92" s="2" t="s">
        <v>299</v>
      </c>
      <c r="E92" s="2" t="s">
        <v>51</v>
      </c>
      <c r="F92" s="3" t="s">
        <v>14</v>
      </c>
      <c r="G92" s="3" t="s">
        <v>15</v>
      </c>
      <c r="H92" s="4" t="n">
        <v>46317</v>
      </c>
      <c r="I92" s="5" t="n">
        <v>8</v>
      </c>
      <c r="J92" s="2" t="s">
        <v>16</v>
      </c>
    </row>
    <row r="93" customFormat="false" ht="15" hidden="false" customHeight="false" outlineLevel="0" collapsed="false">
      <c r="A93" s="2" t="n">
        <v>92</v>
      </c>
      <c r="B93" s="3" t="s">
        <v>300</v>
      </c>
      <c r="C93" s="3" t="s">
        <v>301</v>
      </c>
      <c r="D93" s="2" t="s">
        <v>302</v>
      </c>
      <c r="E93" s="2" t="s">
        <v>36</v>
      </c>
      <c r="F93" s="3" t="s">
        <v>14</v>
      </c>
      <c r="G93" s="3" t="s">
        <v>85</v>
      </c>
      <c r="H93" s="4" t="n">
        <v>46320</v>
      </c>
      <c r="I93" s="5" t="n">
        <v>6.3</v>
      </c>
      <c r="J93" s="2" t="s">
        <v>23</v>
      </c>
    </row>
    <row r="94" customFormat="false" ht="15" hidden="false" customHeight="false" outlineLevel="0" collapsed="false">
      <c r="A94" s="2" t="n">
        <v>93</v>
      </c>
      <c r="B94" s="3" t="s">
        <v>303</v>
      </c>
      <c r="C94" s="3" t="s">
        <v>304</v>
      </c>
      <c r="D94" s="2" t="s">
        <v>305</v>
      </c>
      <c r="E94" s="2" t="s">
        <v>36</v>
      </c>
      <c r="F94" s="3" t="s">
        <v>41</v>
      </c>
      <c r="G94" s="3" t="s">
        <v>78</v>
      </c>
      <c r="H94" s="4" t="n">
        <v>46299</v>
      </c>
      <c r="I94" s="5" t="n">
        <v>5.3</v>
      </c>
      <c r="J94" s="2" t="s">
        <v>16</v>
      </c>
    </row>
    <row r="95" customFormat="false" ht="15" hidden="true" customHeight="false" outlineLevel="0" collapsed="false">
      <c r="A95" s="2" t="n">
        <v>94</v>
      </c>
      <c r="B95" s="3" t="s">
        <v>306</v>
      </c>
      <c r="C95" s="3" t="s">
        <v>307</v>
      </c>
      <c r="D95" s="2" t="s">
        <v>308</v>
      </c>
      <c r="E95" s="2" t="s">
        <v>51</v>
      </c>
      <c r="F95" s="3" t="s">
        <v>21</v>
      </c>
      <c r="G95" s="3" t="s">
        <v>28</v>
      </c>
      <c r="H95" s="4" t="n">
        <v>46318</v>
      </c>
      <c r="I95" s="5" t="n">
        <v>8.4</v>
      </c>
      <c r="J95" s="2" t="s">
        <v>16</v>
      </c>
    </row>
    <row r="96" customFormat="false" ht="15" hidden="true" customHeight="false" outlineLevel="0" collapsed="false">
      <c r="A96" s="2" t="n">
        <v>95</v>
      </c>
      <c r="B96" s="3" t="s">
        <v>309</v>
      </c>
      <c r="C96" s="3" t="s">
        <v>310</v>
      </c>
      <c r="D96" s="2" t="s">
        <v>311</v>
      </c>
      <c r="E96" s="2" t="s">
        <v>51</v>
      </c>
      <c r="F96" s="3" t="s">
        <v>41</v>
      </c>
      <c r="G96" s="3" t="s">
        <v>15</v>
      </c>
      <c r="H96" s="4" t="n">
        <v>46319</v>
      </c>
      <c r="I96" s="5" t="n">
        <v>5.2</v>
      </c>
      <c r="J96" s="2" t="s">
        <v>16</v>
      </c>
    </row>
    <row r="97" customFormat="false" ht="15" hidden="true" customHeight="false" outlineLevel="0" collapsed="false">
      <c r="A97" s="2" t="n">
        <v>96</v>
      </c>
      <c r="B97" s="3" t="s">
        <v>312</v>
      </c>
      <c r="C97" s="3" t="s">
        <v>313</v>
      </c>
      <c r="D97" s="2" t="s">
        <v>314</v>
      </c>
      <c r="E97" s="2" t="s">
        <v>36</v>
      </c>
      <c r="F97" s="3" t="s">
        <v>14</v>
      </c>
      <c r="G97" s="3" t="s">
        <v>78</v>
      </c>
      <c r="H97" s="4" t="n">
        <v>46301</v>
      </c>
      <c r="I97" s="5" t="n">
        <v>9.5</v>
      </c>
      <c r="J97" s="2" t="s">
        <v>16</v>
      </c>
    </row>
    <row r="98" customFormat="false" ht="15" hidden="true" customHeight="false" outlineLevel="0" collapsed="false">
      <c r="A98" s="2" t="n">
        <v>97</v>
      </c>
      <c r="B98" s="3" t="s">
        <v>315</v>
      </c>
      <c r="C98" s="3" t="s">
        <v>316</v>
      </c>
      <c r="D98" s="2" t="s">
        <v>317</v>
      </c>
      <c r="E98" s="2" t="s">
        <v>20</v>
      </c>
      <c r="F98" s="3" t="s">
        <v>32</v>
      </c>
      <c r="G98" s="3" t="s">
        <v>37</v>
      </c>
      <c r="H98" s="4" t="n">
        <v>46320</v>
      </c>
      <c r="I98" s="5" t="n">
        <v>8.3</v>
      </c>
      <c r="J98" s="2" t="s">
        <v>16</v>
      </c>
    </row>
    <row r="99" customFormat="false" ht="15" hidden="true" customHeight="false" outlineLevel="0" collapsed="false">
      <c r="A99" s="2" t="n">
        <v>98</v>
      </c>
      <c r="B99" s="3" t="s">
        <v>318</v>
      </c>
      <c r="C99" s="3" t="s">
        <v>319</v>
      </c>
      <c r="D99" s="2" t="s">
        <v>320</v>
      </c>
      <c r="E99" s="2" t="s">
        <v>51</v>
      </c>
      <c r="F99" s="3" t="s">
        <v>14</v>
      </c>
      <c r="G99" s="3" t="s">
        <v>85</v>
      </c>
      <c r="H99" s="4" t="n">
        <v>46304</v>
      </c>
      <c r="I99" s="5" t="n">
        <v>7.9</v>
      </c>
      <c r="J99" s="2" t="s">
        <v>23</v>
      </c>
    </row>
    <row r="100" customFormat="false" ht="15" hidden="false" customHeight="false" outlineLevel="0" collapsed="false">
      <c r="A100" s="2" t="n">
        <v>99</v>
      </c>
      <c r="B100" s="3" t="s">
        <v>321</v>
      </c>
      <c r="C100" s="3" t="s">
        <v>322</v>
      </c>
      <c r="D100" s="2" t="s">
        <v>323</v>
      </c>
      <c r="E100" s="2" t="s">
        <v>36</v>
      </c>
      <c r="F100" s="3" t="s">
        <v>41</v>
      </c>
      <c r="G100" s="3" t="s">
        <v>56</v>
      </c>
      <c r="H100" s="4" t="n">
        <v>46321</v>
      </c>
      <c r="I100" s="5" t="n">
        <v>6</v>
      </c>
      <c r="J100" s="2" t="s">
        <v>16</v>
      </c>
    </row>
    <row r="101" customFormat="false" ht="15" hidden="false" customHeight="false" outlineLevel="0" collapsed="false">
      <c r="A101" s="2" t="n">
        <v>100</v>
      </c>
      <c r="B101" s="3" t="s">
        <v>324</v>
      </c>
      <c r="C101" s="3" t="s">
        <v>325</v>
      </c>
      <c r="D101" s="2" t="s">
        <v>326</v>
      </c>
      <c r="E101" s="2" t="s">
        <v>36</v>
      </c>
      <c r="F101" s="3" t="s">
        <v>14</v>
      </c>
      <c r="G101" s="3" t="s">
        <v>85</v>
      </c>
      <c r="H101" s="4" t="n">
        <v>46316</v>
      </c>
      <c r="I101" s="5" t="n">
        <v>3.6</v>
      </c>
      <c r="J101" s="2" t="s">
        <v>16</v>
      </c>
    </row>
    <row r="102" customFormat="false" ht="15" hidden="false" customHeight="false" outlineLevel="0" collapsed="false">
      <c r="A102" s="2" t="n">
        <v>101</v>
      </c>
      <c r="B102" s="3" t="s">
        <v>327</v>
      </c>
      <c r="C102" s="3" t="s">
        <v>328</v>
      </c>
      <c r="D102" s="2" t="s">
        <v>329</v>
      </c>
      <c r="E102" s="2" t="s">
        <v>36</v>
      </c>
      <c r="F102" s="3" t="s">
        <v>41</v>
      </c>
      <c r="G102" s="3" t="s">
        <v>78</v>
      </c>
      <c r="H102" s="4" t="n">
        <v>46297</v>
      </c>
      <c r="I102" s="5" t="n">
        <v>3.7</v>
      </c>
      <c r="J102" s="2" t="s">
        <v>16</v>
      </c>
    </row>
    <row r="103" customFormat="false" ht="15" hidden="false" customHeight="false" outlineLevel="0" collapsed="false">
      <c r="A103" s="2" t="n">
        <v>102</v>
      </c>
      <c r="B103" s="3" t="s">
        <v>72</v>
      </c>
      <c r="C103" s="3" t="s">
        <v>330</v>
      </c>
      <c r="D103" s="2" t="s">
        <v>331</v>
      </c>
      <c r="E103" s="2" t="s">
        <v>36</v>
      </c>
      <c r="F103" s="3" t="s">
        <v>21</v>
      </c>
      <c r="G103" s="3" t="s">
        <v>85</v>
      </c>
      <c r="H103" s="4" t="n">
        <v>46303</v>
      </c>
      <c r="I103" s="5" t="n">
        <v>4.7</v>
      </c>
      <c r="J103" s="2" t="s">
        <v>16</v>
      </c>
    </row>
    <row r="104" customFormat="false" ht="15" hidden="true" customHeight="false" outlineLevel="0" collapsed="false">
      <c r="A104" s="2" t="n">
        <v>103</v>
      </c>
      <c r="B104" s="3" t="s">
        <v>332</v>
      </c>
      <c r="C104" s="3" t="s">
        <v>333</v>
      </c>
      <c r="D104" s="2" t="s">
        <v>334</v>
      </c>
      <c r="E104" s="2" t="s">
        <v>13</v>
      </c>
      <c r="F104" s="3" t="s">
        <v>41</v>
      </c>
      <c r="G104" s="3" t="s">
        <v>52</v>
      </c>
      <c r="H104" s="4" t="n">
        <v>46302</v>
      </c>
      <c r="I104" s="5" t="n">
        <v>9.2</v>
      </c>
      <c r="J104" s="2" t="s">
        <v>16</v>
      </c>
    </row>
    <row r="105" customFormat="false" ht="15" hidden="true" customHeight="false" outlineLevel="0" collapsed="false">
      <c r="A105" s="2" t="n">
        <v>104</v>
      </c>
      <c r="B105" s="3" t="s">
        <v>335</v>
      </c>
      <c r="C105" s="3" t="s">
        <v>336</v>
      </c>
      <c r="D105" s="2" t="s">
        <v>337</v>
      </c>
      <c r="E105" s="2" t="s">
        <v>27</v>
      </c>
      <c r="F105" s="3" t="s">
        <v>21</v>
      </c>
      <c r="G105" s="3" t="s">
        <v>56</v>
      </c>
      <c r="H105" s="4" t="n">
        <v>46312</v>
      </c>
      <c r="I105" s="5" t="n">
        <v>8.5</v>
      </c>
      <c r="J105" s="2" t="s">
        <v>23</v>
      </c>
    </row>
    <row r="106" customFormat="false" ht="15" hidden="true" customHeight="false" outlineLevel="0" collapsed="false">
      <c r="A106" s="2" t="n">
        <v>105</v>
      </c>
      <c r="B106" s="3" t="s">
        <v>338</v>
      </c>
      <c r="C106" s="3" t="s">
        <v>339</v>
      </c>
      <c r="D106" s="2" t="s">
        <v>340</v>
      </c>
      <c r="E106" s="2" t="s">
        <v>13</v>
      </c>
      <c r="F106" s="3" t="s">
        <v>41</v>
      </c>
      <c r="G106" s="3" t="s">
        <v>78</v>
      </c>
      <c r="H106" s="4" t="n">
        <v>46315</v>
      </c>
      <c r="I106" s="5" t="n">
        <v>4.8</v>
      </c>
      <c r="J106" s="2" t="s">
        <v>16</v>
      </c>
    </row>
    <row r="107" customFormat="false" ht="15" hidden="true" customHeight="false" outlineLevel="0" collapsed="false">
      <c r="A107" s="2" t="n">
        <v>106</v>
      </c>
      <c r="B107" s="3" t="s">
        <v>341</v>
      </c>
      <c r="C107" s="3" t="s">
        <v>342</v>
      </c>
      <c r="D107" s="2" t="s">
        <v>343</v>
      </c>
      <c r="E107" s="2" t="s">
        <v>13</v>
      </c>
      <c r="F107" s="3" t="s">
        <v>32</v>
      </c>
      <c r="G107" s="3" t="s">
        <v>52</v>
      </c>
      <c r="H107" s="4" t="n">
        <v>46314</v>
      </c>
      <c r="I107" s="5" t="n">
        <v>9.4</v>
      </c>
      <c r="J107" s="2" t="s">
        <v>23</v>
      </c>
    </row>
    <row r="108" customFormat="false" ht="15" hidden="true" customHeight="false" outlineLevel="0" collapsed="false">
      <c r="A108" s="2" t="n">
        <v>107</v>
      </c>
      <c r="B108" s="3" t="s">
        <v>344</v>
      </c>
      <c r="C108" s="3" t="s">
        <v>345</v>
      </c>
      <c r="D108" s="2" t="s">
        <v>346</v>
      </c>
      <c r="E108" s="2" t="s">
        <v>13</v>
      </c>
      <c r="F108" s="3" t="s">
        <v>21</v>
      </c>
      <c r="G108" s="3" t="s">
        <v>37</v>
      </c>
      <c r="H108" s="4" t="n">
        <v>46303</v>
      </c>
      <c r="I108" s="5" t="n">
        <v>6.7</v>
      </c>
      <c r="J108" s="2" t="s">
        <v>23</v>
      </c>
    </row>
    <row r="109" customFormat="false" ht="15" hidden="true" customHeight="false" outlineLevel="0" collapsed="false">
      <c r="A109" s="2" t="n">
        <v>108</v>
      </c>
      <c r="B109" s="3" t="s">
        <v>347</v>
      </c>
      <c r="C109" s="3" t="s">
        <v>348</v>
      </c>
      <c r="D109" s="2" t="s">
        <v>349</v>
      </c>
      <c r="E109" s="2" t="s">
        <v>20</v>
      </c>
      <c r="F109" s="3" t="s">
        <v>32</v>
      </c>
      <c r="G109" s="3" t="s">
        <v>56</v>
      </c>
      <c r="H109" s="4" t="n">
        <v>46299</v>
      </c>
      <c r="I109" s="5" t="n">
        <v>5.9</v>
      </c>
      <c r="J109" s="2" t="s">
        <v>16</v>
      </c>
    </row>
    <row r="110" customFormat="false" ht="15" hidden="true" customHeight="false" outlineLevel="0" collapsed="false">
      <c r="A110" s="2" t="n">
        <v>109</v>
      </c>
      <c r="B110" s="3" t="s">
        <v>350</v>
      </c>
      <c r="C110" s="3" t="s">
        <v>351</v>
      </c>
      <c r="D110" s="2" t="s">
        <v>352</v>
      </c>
      <c r="E110" s="2" t="s">
        <v>27</v>
      </c>
      <c r="F110" s="3" t="s">
        <v>32</v>
      </c>
      <c r="G110" s="3" t="s">
        <v>56</v>
      </c>
      <c r="H110" s="4" t="n">
        <v>46312</v>
      </c>
      <c r="I110" s="5" t="n">
        <v>8.1</v>
      </c>
      <c r="J110" s="2" t="s">
        <v>16</v>
      </c>
    </row>
    <row r="111" customFormat="false" ht="15" hidden="true" customHeight="false" outlineLevel="0" collapsed="false">
      <c r="A111" s="2" t="n">
        <v>110</v>
      </c>
      <c r="B111" s="3" t="s">
        <v>75</v>
      </c>
      <c r="C111" s="3" t="s">
        <v>353</v>
      </c>
      <c r="D111" s="2" t="s">
        <v>354</v>
      </c>
      <c r="E111" s="2" t="s">
        <v>27</v>
      </c>
      <c r="F111" s="3" t="s">
        <v>14</v>
      </c>
      <c r="G111" s="3" t="s">
        <v>22</v>
      </c>
      <c r="H111" s="4" t="n">
        <v>46321</v>
      </c>
      <c r="I111" s="5" t="n">
        <v>3.8</v>
      </c>
      <c r="J111" s="2" t="s">
        <v>16</v>
      </c>
    </row>
    <row r="112" customFormat="false" ht="15" hidden="true" customHeight="false" outlineLevel="0" collapsed="false">
      <c r="A112" s="2" t="n">
        <v>111</v>
      </c>
      <c r="B112" s="3" t="s">
        <v>355</v>
      </c>
      <c r="C112" s="3" t="s">
        <v>356</v>
      </c>
      <c r="D112" s="2" t="s">
        <v>357</v>
      </c>
      <c r="E112" s="2" t="s">
        <v>20</v>
      </c>
      <c r="F112" s="3" t="s">
        <v>32</v>
      </c>
      <c r="G112" s="3" t="s">
        <v>85</v>
      </c>
      <c r="H112" s="4" t="n">
        <v>46299</v>
      </c>
      <c r="I112" s="5" t="n">
        <v>8.8</v>
      </c>
      <c r="J112" s="2" t="s">
        <v>16</v>
      </c>
    </row>
    <row r="113" customFormat="false" ht="15" hidden="true" customHeight="false" outlineLevel="0" collapsed="false">
      <c r="A113" s="2" t="n">
        <v>112</v>
      </c>
      <c r="B113" s="3" t="s">
        <v>358</v>
      </c>
      <c r="C113" s="3" t="s">
        <v>359</v>
      </c>
      <c r="D113" s="2" t="s">
        <v>360</v>
      </c>
      <c r="E113" s="2" t="s">
        <v>36</v>
      </c>
      <c r="F113" s="3" t="s">
        <v>32</v>
      </c>
      <c r="G113" s="3" t="s">
        <v>37</v>
      </c>
      <c r="H113" s="4" t="n">
        <v>46321</v>
      </c>
      <c r="I113" s="5" t="n">
        <v>8</v>
      </c>
      <c r="J113" s="2" t="s">
        <v>16</v>
      </c>
    </row>
    <row r="114" customFormat="false" ht="15" hidden="false" customHeight="false" outlineLevel="0" collapsed="false">
      <c r="A114" s="2" t="n">
        <v>113</v>
      </c>
      <c r="B114" s="3" t="s">
        <v>361</v>
      </c>
      <c r="C114" s="3" t="s">
        <v>362</v>
      </c>
      <c r="D114" s="2" t="s">
        <v>363</v>
      </c>
      <c r="E114" s="2" t="s">
        <v>36</v>
      </c>
      <c r="F114" s="3" t="s">
        <v>41</v>
      </c>
      <c r="G114" s="3" t="s">
        <v>85</v>
      </c>
      <c r="H114" s="4" t="n">
        <v>46308</v>
      </c>
      <c r="I114" s="5" t="n">
        <v>4.6</v>
      </c>
      <c r="J114" s="2" t="s">
        <v>16</v>
      </c>
    </row>
    <row r="115" customFormat="false" ht="15" hidden="true" customHeight="false" outlineLevel="0" collapsed="false">
      <c r="A115" s="2" t="n">
        <v>114</v>
      </c>
      <c r="B115" s="3" t="s">
        <v>364</v>
      </c>
      <c r="C115" s="3" t="s">
        <v>365</v>
      </c>
      <c r="D115" s="2" t="s">
        <v>366</v>
      </c>
      <c r="E115" s="2" t="s">
        <v>20</v>
      </c>
      <c r="F115" s="3" t="s">
        <v>32</v>
      </c>
      <c r="G115" s="3" t="s">
        <v>22</v>
      </c>
      <c r="H115" s="4" t="n">
        <v>46320</v>
      </c>
      <c r="I115" s="5" t="n">
        <v>3.7</v>
      </c>
      <c r="J115" s="2" t="s">
        <v>16</v>
      </c>
    </row>
    <row r="116" customFormat="false" ht="15" hidden="false" customHeight="false" outlineLevel="0" collapsed="false">
      <c r="A116" s="2" t="n">
        <v>115</v>
      </c>
      <c r="B116" s="3" t="s">
        <v>367</v>
      </c>
      <c r="C116" s="3" t="s">
        <v>368</v>
      </c>
      <c r="D116" s="2" t="s">
        <v>369</v>
      </c>
      <c r="E116" s="2" t="s">
        <v>36</v>
      </c>
      <c r="F116" s="3" t="s">
        <v>21</v>
      </c>
      <c r="G116" s="3" t="s">
        <v>28</v>
      </c>
      <c r="H116" s="4" t="n">
        <v>46316</v>
      </c>
      <c r="I116" s="5" t="n">
        <v>5</v>
      </c>
      <c r="J116" s="2" t="s">
        <v>16</v>
      </c>
    </row>
    <row r="117" customFormat="false" ht="15" hidden="false" customHeight="false" outlineLevel="0" collapsed="false">
      <c r="A117" s="2" t="n">
        <v>116</v>
      </c>
      <c r="B117" s="3" t="s">
        <v>370</v>
      </c>
      <c r="C117" s="3" t="s">
        <v>371</v>
      </c>
      <c r="D117" s="2" t="s">
        <v>372</v>
      </c>
      <c r="E117" s="2" t="s">
        <v>36</v>
      </c>
      <c r="F117" s="3" t="s">
        <v>21</v>
      </c>
      <c r="G117" s="3" t="s">
        <v>78</v>
      </c>
      <c r="H117" s="4" t="n">
        <v>46320</v>
      </c>
      <c r="I117" s="5" t="n">
        <v>4.2</v>
      </c>
      <c r="J117" s="2" t="s">
        <v>16</v>
      </c>
    </row>
    <row r="118" customFormat="false" ht="15" hidden="true" customHeight="false" outlineLevel="0" collapsed="false">
      <c r="A118" s="2" t="n">
        <v>117</v>
      </c>
      <c r="B118" s="3" t="s">
        <v>373</v>
      </c>
      <c r="C118" s="3" t="s">
        <v>374</v>
      </c>
      <c r="D118" s="2" t="s">
        <v>375</v>
      </c>
      <c r="E118" s="2" t="s">
        <v>27</v>
      </c>
      <c r="F118" s="3" t="s">
        <v>21</v>
      </c>
      <c r="G118" s="3" t="s">
        <v>28</v>
      </c>
      <c r="H118" s="4" t="n">
        <v>46307</v>
      </c>
      <c r="I118" s="5" t="n">
        <v>7</v>
      </c>
      <c r="J118" s="2" t="s">
        <v>16</v>
      </c>
    </row>
    <row r="119" customFormat="false" ht="15" hidden="true" customHeight="false" outlineLevel="0" collapsed="false">
      <c r="A119" s="2" t="n">
        <v>118</v>
      </c>
      <c r="B119" s="3" t="s">
        <v>376</v>
      </c>
      <c r="C119" s="3" t="s">
        <v>377</v>
      </c>
      <c r="D119" s="2" t="s">
        <v>378</v>
      </c>
      <c r="E119" s="2" t="s">
        <v>36</v>
      </c>
      <c r="F119" s="3" t="s">
        <v>32</v>
      </c>
      <c r="G119" s="3" t="s">
        <v>37</v>
      </c>
      <c r="H119" s="4" t="n">
        <v>46321</v>
      </c>
      <c r="I119" s="5" t="n">
        <v>8.3</v>
      </c>
      <c r="J119" s="2" t="s">
        <v>16</v>
      </c>
    </row>
    <row r="120" customFormat="false" ht="15" hidden="true" customHeight="false" outlineLevel="0" collapsed="false">
      <c r="A120" s="2" t="n">
        <v>119</v>
      </c>
      <c r="B120" s="3" t="s">
        <v>379</v>
      </c>
      <c r="C120" s="3" t="s">
        <v>380</v>
      </c>
      <c r="D120" s="2" t="s">
        <v>381</v>
      </c>
      <c r="E120" s="2" t="s">
        <v>13</v>
      </c>
      <c r="F120" s="3" t="s">
        <v>32</v>
      </c>
      <c r="G120" s="3" t="s">
        <v>15</v>
      </c>
      <c r="H120" s="4" t="n">
        <v>46311</v>
      </c>
      <c r="I120" s="5" t="n">
        <v>6.7</v>
      </c>
      <c r="J120" s="2" t="s">
        <v>16</v>
      </c>
    </row>
    <row r="121" customFormat="false" ht="15" hidden="false" customHeight="false" outlineLevel="0" collapsed="false">
      <c r="A121" s="2" t="n">
        <v>120</v>
      </c>
      <c r="B121" s="3" t="s">
        <v>382</v>
      </c>
      <c r="C121" s="3" t="s">
        <v>383</v>
      </c>
      <c r="D121" s="2" t="s">
        <v>384</v>
      </c>
      <c r="E121" s="2" t="s">
        <v>36</v>
      </c>
      <c r="F121" s="3" t="s">
        <v>14</v>
      </c>
      <c r="G121" s="3" t="s">
        <v>37</v>
      </c>
      <c r="H121" s="4" t="n">
        <v>46304</v>
      </c>
      <c r="I121" s="5" t="n">
        <v>5.2</v>
      </c>
      <c r="J121" s="2" t="s">
        <v>23</v>
      </c>
    </row>
    <row r="122" customFormat="false" ht="15" hidden="true" customHeight="false" outlineLevel="0" collapsed="false">
      <c r="A122" s="2" t="n">
        <v>121</v>
      </c>
      <c r="B122" s="3" t="s">
        <v>385</v>
      </c>
      <c r="C122" s="3" t="s">
        <v>386</v>
      </c>
      <c r="D122" s="2" t="s">
        <v>387</v>
      </c>
      <c r="E122" s="2" t="s">
        <v>20</v>
      </c>
      <c r="F122" s="3" t="s">
        <v>21</v>
      </c>
      <c r="G122" s="3" t="s">
        <v>78</v>
      </c>
      <c r="H122" s="4" t="n">
        <v>46319</v>
      </c>
      <c r="I122" s="5" t="n">
        <v>6</v>
      </c>
      <c r="J122" s="2" t="s">
        <v>16</v>
      </c>
    </row>
    <row r="123" customFormat="false" ht="15" hidden="false" customHeight="false" outlineLevel="0" collapsed="false">
      <c r="A123" s="2" t="n">
        <v>122</v>
      </c>
      <c r="B123" s="3" t="s">
        <v>388</v>
      </c>
      <c r="C123" s="3" t="s">
        <v>389</v>
      </c>
      <c r="D123" s="2" t="s">
        <v>390</v>
      </c>
      <c r="E123" s="2" t="s">
        <v>36</v>
      </c>
      <c r="F123" s="3" t="s">
        <v>41</v>
      </c>
      <c r="G123" s="3" t="s">
        <v>78</v>
      </c>
      <c r="H123" s="4" t="n">
        <v>46297</v>
      </c>
      <c r="I123" s="5" t="n">
        <v>5</v>
      </c>
      <c r="J123" s="2" t="s">
        <v>16</v>
      </c>
    </row>
    <row r="124" customFormat="false" ht="15" hidden="true" customHeight="false" outlineLevel="0" collapsed="false">
      <c r="A124" s="2" t="n">
        <v>123</v>
      </c>
      <c r="B124" s="3" t="s">
        <v>391</v>
      </c>
      <c r="C124" s="3" t="s">
        <v>392</v>
      </c>
      <c r="D124" s="2" t="s">
        <v>393</v>
      </c>
      <c r="E124" s="2" t="s">
        <v>36</v>
      </c>
      <c r="F124" s="3" t="s">
        <v>21</v>
      </c>
      <c r="G124" s="3" t="s">
        <v>37</v>
      </c>
      <c r="H124" s="4" t="n">
        <v>46308</v>
      </c>
      <c r="I124" s="5" t="n">
        <v>8.9</v>
      </c>
      <c r="J124" s="2" t="s">
        <v>16</v>
      </c>
    </row>
    <row r="125" customFormat="false" ht="15" hidden="true" customHeight="false" outlineLevel="0" collapsed="false">
      <c r="A125" s="2" t="n">
        <v>124</v>
      </c>
      <c r="B125" s="3" t="s">
        <v>394</v>
      </c>
      <c r="C125" s="3" t="s">
        <v>395</v>
      </c>
      <c r="D125" s="2" t="s">
        <v>396</v>
      </c>
      <c r="E125" s="2" t="s">
        <v>27</v>
      </c>
      <c r="F125" s="3" t="s">
        <v>32</v>
      </c>
      <c r="G125" s="3" t="s">
        <v>15</v>
      </c>
      <c r="H125" s="4" t="n">
        <v>46308</v>
      </c>
      <c r="I125" s="5" t="n">
        <v>5.7</v>
      </c>
      <c r="J125" s="2" t="s">
        <v>16</v>
      </c>
    </row>
    <row r="126" customFormat="false" ht="15" hidden="true" customHeight="false" outlineLevel="0" collapsed="false">
      <c r="A126" s="2" t="n">
        <v>125</v>
      </c>
      <c r="B126" s="3" t="s">
        <v>397</v>
      </c>
      <c r="C126" s="3" t="s">
        <v>398</v>
      </c>
      <c r="D126" s="2" t="s">
        <v>399</v>
      </c>
      <c r="E126" s="2" t="s">
        <v>27</v>
      </c>
      <c r="F126" s="3" t="s">
        <v>32</v>
      </c>
      <c r="G126" s="3" t="s">
        <v>78</v>
      </c>
      <c r="H126" s="4" t="n">
        <v>46297</v>
      </c>
      <c r="I126" s="5" t="n">
        <v>7.2</v>
      </c>
      <c r="J126" s="2" t="s">
        <v>16</v>
      </c>
    </row>
    <row r="127" customFormat="false" ht="15" hidden="false" customHeight="false" outlineLevel="0" collapsed="false">
      <c r="A127" s="2" t="n">
        <v>126</v>
      </c>
      <c r="B127" s="3" t="s">
        <v>400</v>
      </c>
      <c r="C127" s="3" t="s">
        <v>401</v>
      </c>
      <c r="D127" s="2" t="s">
        <v>402</v>
      </c>
      <c r="E127" s="2" t="s">
        <v>36</v>
      </c>
      <c r="F127" s="3" t="s">
        <v>21</v>
      </c>
      <c r="G127" s="3" t="s">
        <v>15</v>
      </c>
      <c r="H127" s="4" t="n">
        <v>46298</v>
      </c>
      <c r="I127" s="5" t="n">
        <v>6.1</v>
      </c>
      <c r="J127" s="2" t="s">
        <v>16</v>
      </c>
    </row>
    <row r="128" customFormat="false" ht="15" hidden="true" customHeight="false" outlineLevel="0" collapsed="false">
      <c r="A128" s="2" t="n">
        <v>127</v>
      </c>
      <c r="B128" s="3" t="s">
        <v>403</v>
      </c>
      <c r="C128" s="3" t="s">
        <v>404</v>
      </c>
      <c r="D128" s="2" t="s">
        <v>405</v>
      </c>
      <c r="E128" s="2" t="s">
        <v>51</v>
      </c>
      <c r="F128" s="3" t="s">
        <v>21</v>
      </c>
      <c r="G128" s="3" t="s">
        <v>56</v>
      </c>
      <c r="H128" s="4" t="n">
        <v>46315</v>
      </c>
      <c r="I128" s="5" t="n">
        <v>9.9</v>
      </c>
      <c r="J128" s="2" t="s">
        <v>16</v>
      </c>
    </row>
    <row r="129" customFormat="false" ht="15" hidden="true" customHeight="false" outlineLevel="0" collapsed="false">
      <c r="A129" s="2" t="n">
        <v>128</v>
      </c>
      <c r="B129" s="3" t="s">
        <v>406</v>
      </c>
      <c r="C129" s="3" t="s">
        <v>407</v>
      </c>
      <c r="D129" s="2" t="s">
        <v>408</v>
      </c>
      <c r="E129" s="2" t="s">
        <v>13</v>
      </c>
      <c r="F129" s="3" t="s">
        <v>41</v>
      </c>
      <c r="G129" s="3" t="s">
        <v>78</v>
      </c>
      <c r="H129" s="4" t="n">
        <v>46309</v>
      </c>
      <c r="I129" s="5" t="n">
        <v>4.6</v>
      </c>
      <c r="J129" s="2" t="s">
        <v>16</v>
      </c>
    </row>
    <row r="130" customFormat="false" ht="15" hidden="false" customHeight="false" outlineLevel="0" collapsed="false">
      <c r="A130" s="2" t="n">
        <v>129</v>
      </c>
      <c r="B130" s="3" t="s">
        <v>409</v>
      </c>
      <c r="C130" s="3" t="s">
        <v>410</v>
      </c>
      <c r="D130" s="2" t="s">
        <v>411</v>
      </c>
      <c r="E130" s="2" t="s">
        <v>36</v>
      </c>
      <c r="F130" s="3" t="s">
        <v>21</v>
      </c>
      <c r="G130" s="3" t="s">
        <v>37</v>
      </c>
      <c r="H130" s="4" t="n">
        <v>46320</v>
      </c>
      <c r="I130" s="5" t="n">
        <v>6.4</v>
      </c>
      <c r="J130" s="2" t="s">
        <v>16</v>
      </c>
    </row>
    <row r="131" customFormat="false" ht="15" hidden="true" customHeight="false" outlineLevel="0" collapsed="false">
      <c r="A131" s="2" t="n">
        <v>130</v>
      </c>
      <c r="B131" s="3" t="s">
        <v>412</v>
      </c>
      <c r="C131" s="3" t="s">
        <v>413</v>
      </c>
      <c r="D131" s="2" t="s">
        <v>414</v>
      </c>
      <c r="E131" s="2" t="s">
        <v>20</v>
      </c>
      <c r="F131" s="3" t="s">
        <v>14</v>
      </c>
      <c r="G131" s="3" t="s">
        <v>37</v>
      </c>
      <c r="H131" s="4" t="n">
        <v>46319</v>
      </c>
      <c r="I131" s="5" t="n">
        <v>9.6</v>
      </c>
      <c r="J131" s="2" t="s">
        <v>16</v>
      </c>
    </row>
    <row r="132" customFormat="false" ht="15" hidden="true" customHeight="false" outlineLevel="0" collapsed="false">
      <c r="A132" s="2" t="n">
        <v>131</v>
      </c>
      <c r="B132" s="3" t="s">
        <v>415</v>
      </c>
      <c r="C132" s="3" t="s">
        <v>416</v>
      </c>
      <c r="D132" s="2" t="s">
        <v>417</v>
      </c>
      <c r="E132" s="2" t="s">
        <v>36</v>
      </c>
      <c r="F132" s="3" t="s">
        <v>14</v>
      </c>
      <c r="G132" s="3" t="s">
        <v>56</v>
      </c>
      <c r="H132" s="4" t="n">
        <v>46298</v>
      </c>
      <c r="I132" s="5" t="n">
        <v>7.6</v>
      </c>
      <c r="J132" s="2" t="s">
        <v>23</v>
      </c>
    </row>
    <row r="133" customFormat="false" ht="15" hidden="true" customHeight="false" outlineLevel="0" collapsed="false">
      <c r="A133" s="2" t="n">
        <v>132</v>
      </c>
      <c r="B133" s="3" t="s">
        <v>418</v>
      </c>
      <c r="C133" s="3" t="s">
        <v>419</v>
      </c>
      <c r="D133" s="2" t="s">
        <v>420</v>
      </c>
      <c r="E133" s="2" t="s">
        <v>51</v>
      </c>
      <c r="F133" s="3" t="s">
        <v>41</v>
      </c>
      <c r="G133" s="3" t="s">
        <v>15</v>
      </c>
      <c r="H133" s="4" t="n">
        <v>46311</v>
      </c>
      <c r="I133" s="5" t="n">
        <v>4.1</v>
      </c>
      <c r="J133" s="2" t="s">
        <v>16</v>
      </c>
    </row>
    <row r="134" customFormat="false" ht="15" hidden="false" customHeight="false" outlineLevel="0" collapsed="false">
      <c r="A134" s="2" t="n">
        <v>133</v>
      </c>
      <c r="B134" s="3" t="s">
        <v>421</v>
      </c>
      <c r="C134" s="3" t="s">
        <v>422</v>
      </c>
      <c r="D134" s="2" t="s">
        <v>423</v>
      </c>
      <c r="E134" s="2" t="s">
        <v>36</v>
      </c>
      <c r="F134" s="3" t="s">
        <v>41</v>
      </c>
      <c r="G134" s="3" t="s">
        <v>28</v>
      </c>
      <c r="H134" s="4" t="n">
        <v>46298</v>
      </c>
      <c r="I134" s="5" t="n">
        <v>6.2</v>
      </c>
      <c r="J134" s="2" t="s">
        <v>23</v>
      </c>
    </row>
    <row r="135" customFormat="false" ht="15" hidden="true" customHeight="false" outlineLevel="0" collapsed="false">
      <c r="A135" s="2" t="n">
        <v>134</v>
      </c>
      <c r="B135" s="3" t="s">
        <v>424</v>
      </c>
      <c r="C135" s="3" t="s">
        <v>425</v>
      </c>
      <c r="D135" s="2" t="s">
        <v>426</v>
      </c>
      <c r="E135" s="2" t="s">
        <v>36</v>
      </c>
      <c r="F135" s="3" t="s">
        <v>32</v>
      </c>
      <c r="G135" s="3" t="s">
        <v>52</v>
      </c>
      <c r="H135" s="4" t="n">
        <v>46306</v>
      </c>
      <c r="I135" s="5" t="n">
        <v>9.8</v>
      </c>
      <c r="J135" s="2" t="s">
        <v>16</v>
      </c>
    </row>
    <row r="136" customFormat="false" ht="15" hidden="false" customHeight="false" outlineLevel="0" collapsed="false">
      <c r="A136" s="2" t="n">
        <v>135</v>
      </c>
      <c r="B136" s="3" t="s">
        <v>427</v>
      </c>
      <c r="C136" s="3" t="s">
        <v>428</v>
      </c>
      <c r="D136" s="2" t="s">
        <v>429</v>
      </c>
      <c r="E136" s="2" t="s">
        <v>36</v>
      </c>
      <c r="F136" s="3" t="s">
        <v>41</v>
      </c>
      <c r="G136" s="3" t="s">
        <v>37</v>
      </c>
      <c r="H136" s="4" t="n">
        <v>46319</v>
      </c>
      <c r="I136" s="5" t="n">
        <v>3.9</v>
      </c>
      <c r="J136" s="2" t="s">
        <v>23</v>
      </c>
    </row>
    <row r="137" customFormat="false" ht="15" hidden="true" customHeight="false" outlineLevel="0" collapsed="false">
      <c r="A137" s="2" t="n">
        <v>136</v>
      </c>
      <c r="B137" s="3" t="s">
        <v>430</v>
      </c>
      <c r="C137" s="3" t="s">
        <v>431</v>
      </c>
      <c r="D137" s="2" t="s">
        <v>432</v>
      </c>
      <c r="E137" s="2" t="s">
        <v>36</v>
      </c>
      <c r="F137" s="3" t="s">
        <v>32</v>
      </c>
      <c r="G137" s="3" t="s">
        <v>22</v>
      </c>
      <c r="H137" s="4" t="n">
        <v>46299</v>
      </c>
      <c r="I137" s="5" t="n">
        <v>8.3</v>
      </c>
      <c r="J137" s="2" t="s">
        <v>16</v>
      </c>
    </row>
    <row r="138" customFormat="false" ht="15" hidden="true" customHeight="false" outlineLevel="0" collapsed="false">
      <c r="A138" s="2" t="n">
        <v>137</v>
      </c>
      <c r="B138" s="3" t="s">
        <v>433</v>
      </c>
      <c r="C138" s="3" t="s">
        <v>434</v>
      </c>
      <c r="D138" s="2" t="s">
        <v>435</v>
      </c>
      <c r="E138" s="2" t="s">
        <v>13</v>
      </c>
      <c r="F138" s="3" t="s">
        <v>21</v>
      </c>
      <c r="G138" s="3" t="s">
        <v>52</v>
      </c>
      <c r="H138" s="4" t="n">
        <v>46321</v>
      </c>
      <c r="I138" s="5" t="n">
        <v>7.1</v>
      </c>
      <c r="J138" s="2" t="s">
        <v>16</v>
      </c>
    </row>
    <row r="139" customFormat="false" ht="15" hidden="true" customHeight="false" outlineLevel="0" collapsed="false">
      <c r="A139" s="2" t="n">
        <v>138</v>
      </c>
      <c r="B139" s="3" t="s">
        <v>436</v>
      </c>
      <c r="C139" s="3" t="s">
        <v>437</v>
      </c>
      <c r="D139" s="2" t="s">
        <v>438</v>
      </c>
      <c r="E139" s="2" t="s">
        <v>27</v>
      </c>
      <c r="F139" s="3" t="s">
        <v>21</v>
      </c>
      <c r="G139" s="3" t="s">
        <v>37</v>
      </c>
      <c r="H139" s="4" t="n">
        <v>46311</v>
      </c>
      <c r="I139" s="5" t="n">
        <v>7.7</v>
      </c>
      <c r="J139" s="2" t="s">
        <v>23</v>
      </c>
    </row>
    <row r="140" customFormat="false" ht="15" hidden="true" customHeight="false" outlineLevel="0" collapsed="false">
      <c r="A140" s="2" t="n">
        <v>139</v>
      </c>
      <c r="B140" s="3" t="s">
        <v>439</v>
      </c>
      <c r="C140" s="3" t="s">
        <v>440</v>
      </c>
      <c r="D140" s="2" t="s">
        <v>441</v>
      </c>
      <c r="E140" s="2" t="s">
        <v>27</v>
      </c>
      <c r="F140" s="3" t="s">
        <v>41</v>
      </c>
      <c r="G140" s="3" t="s">
        <v>22</v>
      </c>
      <c r="H140" s="4" t="n">
        <v>46304</v>
      </c>
      <c r="I140" s="5" t="n">
        <v>7.3</v>
      </c>
      <c r="J140" s="2" t="s">
        <v>23</v>
      </c>
    </row>
    <row r="141" customFormat="false" ht="15" hidden="true" customHeight="false" outlineLevel="0" collapsed="false">
      <c r="A141" s="2" t="n">
        <v>140</v>
      </c>
      <c r="B141" s="3" t="s">
        <v>442</v>
      </c>
      <c r="C141" s="3" t="s">
        <v>443</v>
      </c>
      <c r="D141" s="2" t="s">
        <v>444</v>
      </c>
      <c r="E141" s="2" t="s">
        <v>51</v>
      </c>
      <c r="F141" s="3" t="s">
        <v>21</v>
      </c>
      <c r="G141" s="3" t="s">
        <v>37</v>
      </c>
      <c r="H141" s="4" t="n">
        <v>46301</v>
      </c>
      <c r="I141" s="5" t="n">
        <v>4</v>
      </c>
      <c r="J141" s="2" t="s">
        <v>16</v>
      </c>
    </row>
    <row r="142" customFormat="false" ht="15" hidden="true" customHeight="false" outlineLevel="0" collapsed="false">
      <c r="A142" s="2" t="n">
        <v>141</v>
      </c>
      <c r="B142" s="3" t="s">
        <v>445</v>
      </c>
      <c r="C142" s="3" t="s">
        <v>446</v>
      </c>
      <c r="D142" s="2" t="s">
        <v>447</v>
      </c>
      <c r="E142" s="2" t="s">
        <v>20</v>
      </c>
      <c r="F142" s="3" t="s">
        <v>41</v>
      </c>
      <c r="G142" s="3" t="s">
        <v>28</v>
      </c>
      <c r="H142" s="4" t="n">
        <v>46296</v>
      </c>
      <c r="I142" s="5" t="n">
        <v>4.5</v>
      </c>
      <c r="J142" s="2" t="s">
        <v>16</v>
      </c>
    </row>
    <row r="143" customFormat="false" ht="15" hidden="false" customHeight="false" outlineLevel="0" collapsed="false">
      <c r="A143" s="2" t="n">
        <v>142</v>
      </c>
      <c r="B143" s="3" t="s">
        <v>448</v>
      </c>
      <c r="C143" s="3" t="s">
        <v>449</v>
      </c>
      <c r="D143" s="2" t="s">
        <v>450</v>
      </c>
      <c r="E143" s="2" t="s">
        <v>36</v>
      </c>
      <c r="F143" s="3" t="s">
        <v>14</v>
      </c>
      <c r="G143" s="3" t="s">
        <v>15</v>
      </c>
      <c r="H143" s="4" t="n">
        <v>46304</v>
      </c>
      <c r="I143" s="5" t="n">
        <v>5.3</v>
      </c>
      <c r="J143" s="2" t="s">
        <v>16</v>
      </c>
    </row>
    <row r="144" customFormat="false" ht="15" hidden="true" customHeight="false" outlineLevel="0" collapsed="false">
      <c r="A144" s="2" t="n">
        <v>143</v>
      </c>
      <c r="B144" s="3" t="s">
        <v>451</v>
      </c>
      <c r="C144" s="3" t="s">
        <v>452</v>
      </c>
      <c r="D144" s="2" t="s">
        <v>453</v>
      </c>
      <c r="E144" s="2" t="s">
        <v>13</v>
      </c>
      <c r="F144" s="3" t="s">
        <v>32</v>
      </c>
      <c r="G144" s="3" t="s">
        <v>28</v>
      </c>
      <c r="H144" s="4" t="n">
        <v>46319</v>
      </c>
      <c r="I144" s="5" t="n">
        <v>4</v>
      </c>
      <c r="J144" s="2" t="s">
        <v>16</v>
      </c>
    </row>
    <row r="145" customFormat="false" ht="15" hidden="true" customHeight="false" outlineLevel="0" collapsed="false">
      <c r="A145" s="2" t="n">
        <v>144</v>
      </c>
      <c r="B145" s="3" t="s">
        <v>454</v>
      </c>
      <c r="C145" s="3" t="s">
        <v>455</v>
      </c>
      <c r="D145" s="2" t="s">
        <v>456</v>
      </c>
      <c r="E145" s="2" t="s">
        <v>36</v>
      </c>
      <c r="F145" s="3" t="s">
        <v>14</v>
      </c>
      <c r="G145" s="3" t="s">
        <v>22</v>
      </c>
      <c r="H145" s="4" t="n">
        <v>46304</v>
      </c>
      <c r="I145" s="5" t="n">
        <v>9.7</v>
      </c>
      <c r="J145" s="2" t="s">
        <v>23</v>
      </c>
    </row>
    <row r="146" customFormat="false" ht="15" hidden="false" customHeight="false" outlineLevel="0" collapsed="false">
      <c r="A146" s="2" t="n">
        <v>145</v>
      </c>
      <c r="B146" s="3" t="s">
        <v>457</v>
      </c>
      <c r="C146" s="3" t="s">
        <v>458</v>
      </c>
      <c r="D146" s="2" t="s">
        <v>459</v>
      </c>
      <c r="E146" s="2" t="s">
        <v>36</v>
      </c>
      <c r="F146" s="3" t="s">
        <v>14</v>
      </c>
      <c r="G146" s="3" t="s">
        <v>37</v>
      </c>
      <c r="H146" s="4" t="n">
        <v>46318</v>
      </c>
      <c r="I146" s="5" t="n">
        <v>5.4</v>
      </c>
      <c r="J146" s="2" t="s">
        <v>16</v>
      </c>
    </row>
    <row r="147" customFormat="false" ht="15" hidden="true" customHeight="false" outlineLevel="0" collapsed="false">
      <c r="A147" s="2" t="n">
        <v>146</v>
      </c>
      <c r="B147" s="3" t="s">
        <v>460</v>
      </c>
      <c r="C147" s="3" t="s">
        <v>461</v>
      </c>
      <c r="D147" s="2" t="s">
        <v>462</v>
      </c>
      <c r="E147" s="2" t="s">
        <v>36</v>
      </c>
      <c r="F147" s="3" t="s">
        <v>14</v>
      </c>
      <c r="G147" s="3" t="s">
        <v>15</v>
      </c>
      <c r="H147" s="4" t="n">
        <v>46321</v>
      </c>
      <c r="I147" s="5" t="n">
        <v>8.5</v>
      </c>
      <c r="J147" s="2" t="s">
        <v>23</v>
      </c>
    </row>
    <row r="148" customFormat="false" ht="15" hidden="true" customHeight="false" outlineLevel="0" collapsed="false">
      <c r="A148" s="2" t="n">
        <v>147</v>
      </c>
      <c r="B148" s="3" t="s">
        <v>463</v>
      </c>
      <c r="C148" s="3" t="s">
        <v>464</v>
      </c>
      <c r="D148" s="2" t="s">
        <v>465</v>
      </c>
      <c r="E148" s="2" t="s">
        <v>51</v>
      </c>
      <c r="F148" s="3" t="s">
        <v>32</v>
      </c>
      <c r="G148" s="3" t="s">
        <v>52</v>
      </c>
      <c r="H148" s="4" t="n">
        <v>46314</v>
      </c>
      <c r="I148" s="5" t="n">
        <v>6.7</v>
      </c>
      <c r="J148" s="2" t="s">
        <v>16</v>
      </c>
    </row>
    <row r="149" customFormat="false" ht="15" hidden="true" customHeight="false" outlineLevel="0" collapsed="false">
      <c r="A149" s="2" t="n">
        <v>148</v>
      </c>
      <c r="B149" s="3" t="s">
        <v>146</v>
      </c>
      <c r="C149" s="3" t="s">
        <v>466</v>
      </c>
      <c r="D149" s="2" t="s">
        <v>467</v>
      </c>
      <c r="E149" s="2" t="s">
        <v>51</v>
      </c>
      <c r="F149" s="3" t="s">
        <v>21</v>
      </c>
      <c r="G149" s="3" t="s">
        <v>37</v>
      </c>
      <c r="H149" s="4" t="n">
        <v>46316</v>
      </c>
      <c r="I149" s="5" t="n">
        <v>6.7</v>
      </c>
      <c r="J149" s="2" t="s">
        <v>16</v>
      </c>
    </row>
    <row r="150" customFormat="false" ht="15" hidden="false" customHeight="false" outlineLevel="0" collapsed="false">
      <c r="A150" s="2" t="n">
        <v>149</v>
      </c>
      <c r="B150" s="3" t="s">
        <v>468</v>
      </c>
      <c r="C150" s="3" t="s">
        <v>469</v>
      </c>
      <c r="D150" s="2" t="s">
        <v>470</v>
      </c>
      <c r="E150" s="2" t="s">
        <v>36</v>
      </c>
      <c r="F150" s="3" t="s">
        <v>41</v>
      </c>
      <c r="G150" s="3" t="s">
        <v>28</v>
      </c>
      <c r="H150" s="4" t="n">
        <v>46310</v>
      </c>
      <c r="I150" s="5" t="n">
        <v>6.9</v>
      </c>
      <c r="J150" s="2" t="s">
        <v>23</v>
      </c>
    </row>
    <row r="151" customFormat="false" ht="15" hidden="true" customHeight="false" outlineLevel="0" collapsed="false">
      <c r="A151" s="2" t="n">
        <v>150</v>
      </c>
      <c r="B151" s="3" t="s">
        <v>471</v>
      </c>
      <c r="C151" s="3" t="s">
        <v>472</v>
      </c>
      <c r="D151" s="2" t="s">
        <v>473</v>
      </c>
      <c r="E151" s="2" t="s">
        <v>51</v>
      </c>
      <c r="F151" s="3" t="s">
        <v>21</v>
      </c>
      <c r="G151" s="3" t="s">
        <v>22</v>
      </c>
      <c r="H151" s="4" t="n">
        <v>46300</v>
      </c>
      <c r="I151" s="5" t="n">
        <v>6.5</v>
      </c>
      <c r="J151" s="2" t="s">
        <v>16</v>
      </c>
    </row>
    <row r="152" customFormat="false" ht="15" hidden="true" customHeight="false" outlineLevel="0" collapsed="false">
      <c r="A152" s="2" t="n">
        <v>151</v>
      </c>
      <c r="B152" s="3" t="s">
        <v>166</v>
      </c>
      <c r="C152" s="3" t="s">
        <v>474</v>
      </c>
      <c r="D152" s="2" t="s">
        <v>475</v>
      </c>
      <c r="E152" s="2" t="s">
        <v>36</v>
      </c>
      <c r="F152" s="3" t="s">
        <v>21</v>
      </c>
      <c r="G152" s="3" t="s">
        <v>37</v>
      </c>
      <c r="H152" s="4" t="n">
        <v>46298</v>
      </c>
      <c r="I152" s="5" t="n">
        <v>7.3</v>
      </c>
      <c r="J152" s="2" t="s">
        <v>16</v>
      </c>
    </row>
    <row r="153" customFormat="false" ht="15" hidden="false" customHeight="false" outlineLevel="0" collapsed="false">
      <c r="A153" s="2" t="n">
        <v>152</v>
      </c>
      <c r="B153" s="3" t="s">
        <v>476</v>
      </c>
      <c r="C153" s="3" t="s">
        <v>477</v>
      </c>
      <c r="D153" s="2" t="s">
        <v>478</v>
      </c>
      <c r="E153" s="2" t="s">
        <v>36</v>
      </c>
      <c r="F153" s="3" t="s">
        <v>32</v>
      </c>
      <c r="G153" s="3" t="s">
        <v>28</v>
      </c>
      <c r="H153" s="4" t="n">
        <v>46320</v>
      </c>
      <c r="I153" s="5" t="n">
        <v>4.9</v>
      </c>
      <c r="J153" s="2" t="s">
        <v>23</v>
      </c>
    </row>
    <row r="154" customFormat="false" ht="15" hidden="true" customHeight="false" outlineLevel="0" collapsed="false">
      <c r="A154" s="2" t="n">
        <v>153</v>
      </c>
      <c r="B154" s="3" t="s">
        <v>479</v>
      </c>
      <c r="C154" s="3" t="s">
        <v>480</v>
      </c>
      <c r="D154" s="2" t="s">
        <v>481</v>
      </c>
      <c r="E154" s="2" t="s">
        <v>13</v>
      </c>
      <c r="F154" s="3" t="s">
        <v>14</v>
      </c>
      <c r="G154" s="3" t="s">
        <v>28</v>
      </c>
      <c r="H154" s="4" t="n">
        <v>46320</v>
      </c>
      <c r="I154" s="5" t="n">
        <v>6.6</v>
      </c>
      <c r="J154" s="2" t="s">
        <v>16</v>
      </c>
    </row>
    <row r="155" customFormat="false" ht="15" hidden="false" customHeight="false" outlineLevel="0" collapsed="false">
      <c r="A155" s="2" t="n">
        <v>154</v>
      </c>
      <c r="B155" s="3" t="s">
        <v>482</v>
      </c>
      <c r="C155" s="3" t="s">
        <v>483</v>
      </c>
      <c r="D155" s="2" t="s">
        <v>484</v>
      </c>
      <c r="E155" s="2" t="s">
        <v>36</v>
      </c>
      <c r="F155" s="3" t="s">
        <v>21</v>
      </c>
      <c r="G155" s="3" t="s">
        <v>15</v>
      </c>
      <c r="H155" s="4" t="n">
        <v>46311</v>
      </c>
      <c r="I155" s="5" t="n">
        <v>5.3</v>
      </c>
      <c r="J155" s="2" t="s">
        <v>23</v>
      </c>
    </row>
    <row r="156" customFormat="false" ht="15" hidden="true" customHeight="false" outlineLevel="0" collapsed="false">
      <c r="A156" s="2" t="n">
        <v>155</v>
      </c>
      <c r="B156" s="3" t="s">
        <v>485</v>
      </c>
      <c r="C156" s="3" t="s">
        <v>486</v>
      </c>
      <c r="D156" s="2" t="s">
        <v>487</v>
      </c>
      <c r="E156" s="2" t="s">
        <v>13</v>
      </c>
      <c r="F156" s="3" t="s">
        <v>21</v>
      </c>
      <c r="G156" s="3" t="s">
        <v>28</v>
      </c>
      <c r="H156" s="4" t="n">
        <v>46302</v>
      </c>
      <c r="I156" s="5" t="n">
        <v>8.9</v>
      </c>
      <c r="J156" s="2" t="s">
        <v>16</v>
      </c>
    </row>
    <row r="157" customFormat="false" ht="15" hidden="true" customHeight="false" outlineLevel="0" collapsed="false">
      <c r="A157" s="2" t="n">
        <v>156</v>
      </c>
      <c r="B157" s="3" t="s">
        <v>488</v>
      </c>
      <c r="C157" s="3" t="s">
        <v>489</v>
      </c>
      <c r="D157" s="2" t="s">
        <v>490</v>
      </c>
      <c r="E157" s="2" t="s">
        <v>36</v>
      </c>
      <c r="F157" s="3" t="s">
        <v>21</v>
      </c>
      <c r="G157" s="3" t="s">
        <v>22</v>
      </c>
      <c r="H157" s="4" t="n">
        <v>46320</v>
      </c>
      <c r="I157" s="5" t="n">
        <v>9.6</v>
      </c>
      <c r="J157" s="2" t="s">
        <v>16</v>
      </c>
    </row>
    <row r="158" customFormat="false" ht="15" hidden="false" customHeight="false" outlineLevel="0" collapsed="false">
      <c r="A158" s="2" t="n">
        <v>157</v>
      </c>
      <c r="B158" s="3" t="s">
        <v>415</v>
      </c>
      <c r="C158" s="3" t="s">
        <v>491</v>
      </c>
      <c r="D158" s="2" t="s">
        <v>492</v>
      </c>
      <c r="E158" s="2" t="s">
        <v>36</v>
      </c>
      <c r="F158" s="3" t="s">
        <v>14</v>
      </c>
      <c r="G158" s="3" t="s">
        <v>37</v>
      </c>
      <c r="H158" s="4" t="n">
        <v>46298</v>
      </c>
      <c r="I158" s="5" t="n">
        <v>4.7</v>
      </c>
      <c r="J158" s="2" t="s">
        <v>23</v>
      </c>
    </row>
    <row r="159" customFormat="false" ht="15" hidden="false" customHeight="false" outlineLevel="0" collapsed="false">
      <c r="A159" s="2" t="n">
        <v>158</v>
      </c>
      <c r="B159" s="3" t="s">
        <v>493</v>
      </c>
      <c r="C159" s="3" t="s">
        <v>494</v>
      </c>
      <c r="D159" s="2" t="s">
        <v>495</v>
      </c>
      <c r="E159" s="2" t="s">
        <v>36</v>
      </c>
      <c r="F159" s="3" t="s">
        <v>21</v>
      </c>
      <c r="G159" s="3" t="s">
        <v>37</v>
      </c>
      <c r="H159" s="4" t="n">
        <v>46318</v>
      </c>
      <c r="I159" s="5" t="n">
        <v>5.8</v>
      </c>
      <c r="J159" s="2" t="s">
        <v>16</v>
      </c>
    </row>
    <row r="160" customFormat="false" ht="15" hidden="true" customHeight="false" outlineLevel="0" collapsed="false">
      <c r="A160" s="2" t="n">
        <v>159</v>
      </c>
      <c r="B160" s="3" t="s">
        <v>496</v>
      </c>
      <c r="C160" s="3" t="s">
        <v>497</v>
      </c>
      <c r="D160" s="2" t="s">
        <v>498</v>
      </c>
      <c r="E160" s="2" t="s">
        <v>36</v>
      </c>
      <c r="F160" s="3" t="s">
        <v>14</v>
      </c>
      <c r="G160" s="3" t="s">
        <v>22</v>
      </c>
      <c r="H160" s="4" t="n">
        <v>46298</v>
      </c>
      <c r="I160" s="5" t="n">
        <v>9.1</v>
      </c>
      <c r="J160" s="2" t="s">
        <v>23</v>
      </c>
    </row>
    <row r="161" customFormat="false" ht="15" hidden="false" customHeight="false" outlineLevel="0" collapsed="false">
      <c r="A161" s="2" t="n">
        <v>160</v>
      </c>
      <c r="B161" s="3" t="s">
        <v>499</v>
      </c>
      <c r="C161" s="3" t="s">
        <v>500</v>
      </c>
      <c r="D161" s="2" t="s">
        <v>501</v>
      </c>
      <c r="E161" s="2" t="s">
        <v>36</v>
      </c>
      <c r="F161" s="3" t="s">
        <v>21</v>
      </c>
      <c r="G161" s="3" t="s">
        <v>22</v>
      </c>
      <c r="H161" s="4" t="n">
        <v>46320</v>
      </c>
      <c r="I161" s="5" t="n">
        <v>5.2</v>
      </c>
      <c r="J161" s="2" t="s">
        <v>23</v>
      </c>
    </row>
    <row r="162" customFormat="false" ht="15" hidden="true" customHeight="false" outlineLevel="0" collapsed="false">
      <c r="A162" s="2" t="n">
        <v>161</v>
      </c>
      <c r="B162" s="3" t="s">
        <v>502</v>
      </c>
      <c r="C162" s="3" t="s">
        <v>503</v>
      </c>
      <c r="D162" s="2" t="s">
        <v>504</v>
      </c>
      <c r="E162" s="2" t="s">
        <v>51</v>
      </c>
      <c r="F162" s="3" t="s">
        <v>14</v>
      </c>
      <c r="G162" s="3" t="s">
        <v>85</v>
      </c>
      <c r="H162" s="4" t="n">
        <v>46321</v>
      </c>
      <c r="I162" s="5" t="n">
        <v>8</v>
      </c>
      <c r="J162" s="2" t="s">
        <v>16</v>
      </c>
    </row>
    <row r="163" customFormat="false" ht="15" hidden="false" customHeight="false" outlineLevel="0" collapsed="false">
      <c r="A163" s="2" t="n">
        <v>162</v>
      </c>
      <c r="B163" s="3" t="s">
        <v>505</v>
      </c>
      <c r="C163" s="3" t="s">
        <v>506</v>
      </c>
      <c r="D163" s="2" t="s">
        <v>507</v>
      </c>
      <c r="E163" s="2" t="s">
        <v>36</v>
      </c>
      <c r="F163" s="3" t="s">
        <v>21</v>
      </c>
      <c r="G163" s="3" t="s">
        <v>28</v>
      </c>
      <c r="H163" s="4" t="n">
        <v>46321</v>
      </c>
      <c r="I163" s="5" t="n">
        <v>5.5</v>
      </c>
      <c r="J163" s="2" t="s">
        <v>16</v>
      </c>
    </row>
    <row r="164" customFormat="false" ht="15" hidden="true" customHeight="false" outlineLevel="0" collapsed="false">
      <c r="A164" s="2" t="n">
        <v>163</v>
      </c>
      <c r="B164" s="3" t="s">
        <v>508</v>
      </c>
      <c r="C164" s="3" t="s">
        <v>509</v>
      </c>
      <c r="D164" s="2" t="s">
        <v>510</v>
      </c>
      <c r="E164" s="2" t="s">
        <v>36</v>
      </c>
      <c r="F164" s="3" t="s">
        <v>14</v>
      </c>
      <c r="G164" s="3" t="s">
        <v>78</v>
      </c>
      <c r="H164" s="4" t="n">
        <v>46310</v>
      </c>
      <c r="I164" s="5" t="n">
        <v>8.1</v>
      </c>
      <c r="J164" s="2" t="s">
        <v>16</v>
      </c>
    </row>
    <row r="165" customFormat="false" ht="15" hidden="false" customHeight="false" outlineLevel="0" collapsed="false">
      <c r="A165" s="2" t="n">
        <v>164</v>
      </c>
      <c r="B165" s="3" t="s">
        <v>511</v>
      </c>
      <c r="C165" s="3" t="s">
        <v>512</v>
      </c>
      <c r="D165" s="2" t="s">
        <v>513</v>
      </c>
      <c r="E165" s="2" t="s">
        <v>36</v>
      </c>
      <c r="F165" s="3" t="s">
        <v>41</v>
      </c>
      <c r="G165" s="3" t="s">
        <v>37</v>
      </c>
      <c r="H165" s="4" t="n">
        <v>46296</v>
      </c>
      <c r="I165" s="5" t="n">
        <v>3.8</v>
      </c>
      <c r="J165" s="2" t="s">
        <v>23</v>
      </c>
    </row>
    <row r="166" customFormat="false" ht="15" hidden="true" customHeight="false" outlineLevel="0" collapsed="false">
      <c r="A166" s="2" t="n">
        <v>165</v>
      </c>
      <c r="B166" s="3" t="s">
        <v>514</v>
      </c>
      <c r="C166" s="3" t="s">
        <v>515</v>
      </c>
      <c r="D166" s="2" t="s">
        <v>516</v>
      </c>
      <c r="E166" s="2" t="s">
        <v>27</v>
      </c>
      <c r="F166" s="3" t="s">
        <v>21</v>
      </c>
      <c r="G166" s="3" t="s">
        <v>22</v>
      </c>
      <c r="H166" s="4" t="n">
        <v>46321</v>
      </c>
      <c r="I166" s="5" t="n">
        <v>6.6</v>
      </c>
      <c r="J166" s="2" t="s">
        <v>16</v>
      </c>
    </row>
    <row r="167" customFormat="false" ht="15" hidden="false" customHeight="false" outlineLevel="0" collapsed="false">
      <c r="A167" s="2" t="n">
        <v>166</v>
      </c>
      <c r="B167" s="3" t="s">
        <v>517</v>
      </c>
      <c r="C167" s="3" t="s">
        <v>518</v>
      </c>
      <c r="D167" s="2" t="s">
        <v>519</v>
      </c>
      <c r="E167" s="2" t="s">
        <v>36</v>
      </c>
      <c r="F167" s="3" t="s">
        <v>41</v>
      </c>
      <c r="G167" s="3" t="s">
        <v>78</v>
      </c>
      <c r="H167" s="4" t="n">
        <v>46308</v>
      </c>
      <c r="I167" s="5" t="n">
        <v>4.4</v>
      </c>
      <c r="J167" s="2" t="s">
        <v>16</v>
      </c>
    </row>
    <row r="168" customFormat="false" ht="15" hidden="false" customHeight="false" outlineLevel="0" collapsed="false">
      <c r="A168" s="2" t="n">
        <v>167</v>
      </c>
      <c r="B168" s="3" t="s">
        <v>520</v>
      </c>
      <c r="C168" s="3" t="s">
        <v>521</v>
      </c>
      <c r="D168" s="2" t="s">
        <v>522</v>
      </c>
      <c r="E168" s="2" t="s">
        <v>36</v>
      </c>
      <c r="F168" s="3" t="s">
        <v>21</v>
      </c>
      <c r="G168" s="3" t="s">
        <v>52</v>
      </c>
      <c r="H168" s="4" t="n">
        <v>46299</v>
      </c>
      <c r="I168" s="5" t="n">
        <v>6.7</v>
      </c>
      <c r="J168" s="2" t="s">
        <v>16</v>
      </c>
    </row>
    <row r="169" customFormat="false" ht="15" hidden="true" customHeight="false" outlineLevel="0" collapsed="false">
      <c r="A169" s="2" t="n">
        <v>168</v>
      </c>
      <c r="B169" s="3" t="s">
        <v>523</v>
      </c>
      <c r="C169" s="3" t="s">
        <v>524</v>
      </c>
      <c r="D169" s="2" t="s">
        <v>525</v>
      </c>
      <c r="E169" s="2" t="s">
        <v>20</v>
      </c>
      <c r="F169" s="3" t="s">
        <v>14</v>
      </c>
      <c r="G169" s="3" t="s">
        <v>22</v>
      </c>
      <c r="H169" s="4" t="n">
        <v>46308</v>
      </c>
      <c r="I169" s="5" t="n">
        <v>7.8</v>
      </c>
      <c r="J169" s="2" t="s">
        <v>23</v>
      </c>
    </row>
    <row r="170" customFormat="false" ht="15" hidden="true" customHeight="false" outlineLevel="0" collapsed="false">
      <c r="A170" s="2" t="n">
        <v>169</v>
      </c>
      <c r="B170" s="3" t="s">
        <v>526</v>
      </c>
      <c r="C170" s="3" t="s">
        <v>527</v>
      </c>
      <c r="D170" s="2" t="s">
        <v>528</v>
      </c>
      <c r="E170" s="2" t="s">
        <v>36</v>
      </c>
      <c r="F170" s="3" t="s">
        <v>14</v>
      </c>
      <c r="G170" s="3" t="s">
        <v>85</v>
      </c>
      <c r="H170" s="4" t="n">
        <v>46312</v>
      </c>
      <c r="I170" s="5" t="n">
        <v>9.8</v>
      </c>
      <c r="J170" s="2" t="s">
        <v>16</v>
      </c>
    </row>
    <row r="171" customFormat="false" ht="15" hidden="true" customHeight="false" outlineLevel="0" collapsed="false">
      <c r="A171" s="2" t="n">
        <v>170</v>
      </c>
      <c r="B171" s="3" t="s">
        <v>327</v>
      </c>
      <c r="C171" s="3" t="s">
        <v>529</v>
      </c>
      <c r="D171" s="2" t="s">
        <v>530</v>
      </c>
      <c r="E171" s="2" t="s">
        <v>20</v>
      </c>
      <c r="F171" s="3" t="s">
        <v>41</v>
      </c>
      <c r="G171" s="3" t="s">
        <v>15</v>
      </c>
      <c r="H171" s="4" t="n">
        <v>46299</v>
      </c>
      <c r="I171" s="5" t="n">
        <v>9.8</v>
      </c>
      <c r="J171" s="2" t="s">
        <v>16</v>
      </c>
    </row>
    <row r="172" customFormat="false" ht="15" hidden="true" customHeight="false" outlineLevel="0" collapsed="false">
      <c r="A172" s="2" t="n">
        <v>171</v>
      </c>
      <c r="B172" s="3" t="s">
        <v>531</v>
      </c>
      <c r="C172" s="3" t="s">
        <v>532</v>
      </c>
      <c r="D172" s="2" t="s">
        <v>533</v>
      </c>
      <c r="E172" s="2" t="s">
        <v>27</v>
      </c>
      <c r="F172" s="3" t="s">
        <v>41</v>
      </c>
      <c r="G172" s="3" t="s">
        <v>37</v>
      </c>
      <c r="H172" s="4" t="n">
        <v>46310</v>
      </c>
      <c r="I172" s="5" t="n">
        <v>8.1</v>
      </c>
      <c r="J172" s="2" t="s">
        <v>16</v>
      </c>
    </row>
    <row r="173" customFormat="false" ht="15" hidden="true" customHeight="false" outlineLevel="0" collapsed="false">
      <c r="A173" s="2" t="n">
        <v>172</v>
      </c>
      <c r="B173" s="3" t="s">
        <v>534</v>
      </c>
      <c r="C173" s="3" t="s">
        <v>535</v>
      </c>
      <c r="D173" s="2" t="s">
        <v>536</v>
      </c>
      <c r="E173" s="2" t="s">
        <v>51</v>
      </c>
      <c r="F173" s="3" t="s">
        <v>21</v>
      </c>
      <c r="G173" s="3" t="s">
        <v>15</v>
      </c>
      <c r="H173" s="4" t="n">
        <v>46317</v>
      </c>
      <c r="I173" s="5" t="n">
        <v>5.7</v>
      </c>
      <c r="J173" s="2" t="s">
        <v>23</v>
      </c>
    </row>
    <row r="174" customFormat="false" ht="15" hidden="true" customHeight="false" outlineLevel="0" collapsed="false">
      <c r="A174" s="2" t="n">
        <v>173</v>
      </c>
      <c r="B174" s="3" t="s">
        <v>537</v>
      </c>
      <c r="C174" s="3" t="s">
        <v>538</v>
      </c>
      <c r="D174" s="2" t="s">
        <v>539</v>
      </c>
      <c r="E174" s="2" t="s">
        <v>27</v>
      </c>
      <c r="F174" s="3" t="s">
        <v>14</v>
      </c>
      <c r="G174" s="3" t="s">
        <v>37</v>
      </c>
      <c r="H174" s="4" t="n">
        <v>46320</v>
      </c>
      <c r="I174" s="5" t="n">
        <v>9.7</v>
      </c>
      <c r="J174" s="2" t="s">
        <v>16</v>
      </c>
    </row>
    <row r="175" customFormat="false" ht="15" hidden="true" customHeight="false" outlineLevel="0" collapsed="false">
      <c r="A175" s="2" t="n">
        <v>174</v>
      </c>
      <c r="B175" s="3" t="s">
        <v>540</v>
      </c>
      <c r="C175" s="3" t="s">
        <v>541</v>
      </c>
      <c r="D175" s="2" t="s">
        <v>542</v>
      </c>
      <c r="E175" s="2" t="s">
        <v>36</v>
      </c>
      <c r="F175" s="3" t="s">
        <v>41</v>
      </c>
      <c r="G175" s="3" t="s">
        <v>56</v>
      </c>
      <c r="H175" s="4" t="n">
        <v>46302</v>
      </c>
      <c r="I175" s="5" t="n">
        <v>9.4</v>
      </c>
      <c r="J175" s="2" t="s">
        <v>16</v>
      </c>
    </row>
    <row r="176" customFormat="false" ht="15" hidden="true" customHeight="false" outlineLevel="0" collapsed="false">
      <c r="A176" s="2" t="n">
        <v>175</v>
      </c>
      <c r="B176" s="3" t="s">
        <v>543</v>
      </c>
      <c r="C176" s="3" t="s">
        <v>544</v>
      </c>
      <c r="D176" s="2" t="s">
        <v>545</v>
      </c>
      <c r="E176" s="2" t="s">
        <v>20</v>
      </c>
      <c r="F176" s="3" t="s">
        <v>41</v>
      </c>
      <c r="G176" s="3" t="s">
        <v>28</v>
      </c>
      <c r="H176" s="4" t="n">
        <v>46296</v>
      </c>
      <c r="I176" s="5" t="n">
        <v>5.2</v>
      </c>
      <c r="J176" s="2" t="s">
        <v>23</v>
      </c>
    </row>
    <row r="177" customFormat="false" ht="15" hidden="false" customHeight="false" outlineLevel="0" collapsed="false">
      <c r="A177" s="2" t="n">
        <v>176</v>
      </c>
      <c r="B177" s="3" t="s">
        <v>546</v>
      </c>
      <c r="C177" s="3" t="s">
        <v>547</v>
      </c>
      <c r="D177" s="2" t="s">
        <v>548</v>
      </c>
      <c r="E177" s="2" t="s">
        <v>36</v>
      </c>
      <c r="F177" s="3" t="s">
        <v>41</v>
      </c>
      <c r="G177" s="3" t="s">
        <v>37</v>
      </c>
      <c r="H177" s="4" t="n">
        <v>46307</v>
      </c>
      <c r="I177" s="5" t="n">
        <v>5.6</v>
      </c>
      <c r="J177" s="2" t="s">
        <v>16</v>
      </c>
    </row>
    <row r="178" customFormat="false" ht="15" hidden="false" customHeight="false" outlineLevel="0" collapsed="false">
      <c r="A178" s="2" t="n">
        <v>177</v>
      </c>
      <c r="B178" s="3" t="s">
        <v>549</v>
      </c>
      <c r="C178" s="3" t="s">
        <v>550</v>
      </c>
      <c r="D178" s="2" t="s">
        <v>551</v>
      </c>
      <c r="E178" s="2" t="s">
        <v>36</v>
      </c>
      <c r="F178" s="3" t="s">
        <v>41</v>
      </c>
      <c r="G178" s="3" t="s">
        <v>15</v>
      </c>
      <c r="H178" s="4" t="n">
        <v>46308</v>
      </c>
      <c r="I178" s="5" t="n">
        <v>4.9</v>
      </c>
      <c r="J178" s="2" t="s">
        <v>16</v>
      </c>
    </row>
    <row r="179" customFormat="false" ht="15" hidden="true" customHeight="false" outlineLevel="0" collapsed="false">
      <c r="A179" s="2" t="n">
        <v>178</v>
      </c>
      <c r="B179" s="3" t="s">
        <v>552</v>
      </c>
      <c r="C179" s="3" t="s">
        <v>553</v>
      </c>
      <c r="D179" s="2" t="s">
        <v>554</v>
      </c>
      <c r="E179" s="2" t="s">
        <v>36</v>
      </c>
      <c r="F179" s="3" t="s">
        <v>41</v>
      </c>
      <c r="G179" s="3" t="s">
        <v>52</v>
      </c>
      <c r="H179" s="4" t="n">
        <v>46309</v>
      </c>
      <c r="I179" s="5" t="n">
        <v>7.2</v>
      </c>
      <c r="J179" s="2" t="s">
        <v>16</v>
      </c>
    </row>
    <row r="180" customFormat="false" ht="15" hidden="false" customHeight="false" outlineLevel="0" collapsed="false">
      <c r="A180" s="2" t="n">
        <v>179</v>
      </c>
      <c r="B180" s="3" t="s">
        <v>555</v>
      </c>
      <c r="C180" s="3" t="s">
        <v>556</v>
      </c>
      <c r="D180" s="2" t="s">
        <v>557</v>
      </c>
      <c r="E180" s="2" t="s">
        <v>36</v>
      </c>
      <c r="F180" s="3" t="s">
        <v>21</v>
      </c>
      <c r="G180" s="3" t="s">
        <v>85</v>
      </c>
      <c r="H180" s="4" t="n">
        <v>46300</v>
      </c>
      <c r="I180" s="5" t="n">
        <v>3.8</v>
      </c>
      <c r="J180" s="2" t="s">
        <v>16</v>
      </c>
    </row>
    <row r="181" customFormat="false" ht="15" hidden="true" customHeight="false" outlineLevel="0" collapsed="false">
      <c r="A181" s="2" t="n">
        <v>180</v>
      </c>
      <c r="B181" s="3" t="s">
        <v>558</v>
      </c>
      <c r="C181" s="3" t="s">
        <v>559</v>
      </c>
      <c r="D181" s="2" t="s">
        <v>560</v>
      </c>
      <c r="E181" s="2" t="s">
        <v>36</v>
      </c>
      <c r="F181" s="3" t="s">
        <v>21</v>
      </c>
      <c r="G181" s="3" t="s">
        <v>15</v>
      </c>
      <c r="H181" s="4" t="n">
        <v>46307</v>
      </c>
      <c r="I181" s="5" t="n">
        <v>9.9</v>
      </c>
      <c r="J181" s="2" t="s">
        <v>23</v>
      </c>
    </row>
    <row r="182" customFormat="false" ht="15" hidden="true" customHeight="false" outlineLevel="0" collapsed="false">
      <c r="A182" s="2" t="n">
        <v>181</v>
      </c>
      <c r="B182" s="3" t="s">
        <v>561</v>
      </c>
      <c r="C182" s="3" t="s">
        <v>562</v>
      </c>
      <c r="D182" s="2" t="s">
        <v>563</v>
      </c>
      <c r="E182" s="2" t="s">
        <v>51</v>
      </c>
      <c r="F182" s="3" t="s">
        <v>32</v>
      </c>
      <c r="G182" s="3" t="s">
        <v>22</v>
      </c>
      <c r="H182" s="4" t="n">
        <v>46303</v>
      </c>
      <c r="I182" s="5" t="n">
        <v>4.9</v>
      </c>
      <c r="J182" s="2" t="s">
        <v>16</v>
      </c>
    </row>
    <row r="183" customFormat="false" ht="15" hidden="true" customHeight="false" outlineLevel="0" collapsed="false">
      <c r="A183" s="2" t="n">
        <v>182</v>
      </c>
      <c r="B183" s="3" t="s">
        <v>564</v>
      </c>
      <c r="C183" s="3" t="s">
        <v>565</v>
      </c>
      <c r="D183" s="2" t="s">
        <v>566</v>
      </c>
      <c r="E183" s="2" t="s">
        <v>36</v>
      </c>
      <c r="F183" s="3" t="s">
        <v>21</v>
      </c>
      <c r="G183" s="3" t="s">
        <v>15</v>
      </c>
      <c r="H183" s="4" t="n">
        <v>46306</v>
      </c>
      <c r="I183" s="5" t="n">
        <v>8</v>
      </c>
      <c r="J183" s="2" t="s">
        <v>16</v>
      </c>
    </row>
    <row r="184" customFormat="false" ht="15" hidden="true" customHeight="false" outlineLevel="0" collapsed="false">
      <c r="A184" s="2" t="n">
        <v>183</v>
      </c>
      <c r="B184" s="3" t="s">
        <v>567</v>
      </c>
      <c r="C184" s="3" t="s">
        <v>568</v>
      </c>
      <c r="D184" s="2" t="s">
        <v>569</v>
      </c>
      <c r="E184" s="2" t="s">
        <v>27</v>
      </c>
      <c r="F184" s="3" t="s">
        <v>21</v>
      </c>
      <c r="G184" s="3" t="s">
        <v>15</v>
      </c>
      <c r="H184" s="4" t="n">
        <v>46321</v>
      </c>
      <c r="I184" s="5" t="n">
        <v>5.4</v>
      </c>
      <c r="J184" s="2" t="s">
        <v>23</v>
      </c>
    </row>
    <row r="185" customFormat="false" ht="15" hidden="true" customHeight="false" outlineLevel="0" collapsed="false">
      <c r="A185" s="2" t="n">
        <v>184</v>
      </c>
      <c r="B185" s="3" t="s">
        <v>570</v>
      </c>
      <c r="C185" s="3" t="s">
        <v>571</v>
      </c>
      <c r="D185" s="2" t="s">
        <v>572</v>
      </c>
      <c r="E185" s="2" t="s">
        <v>13</v>
      </c>
      <c r="F185" s="3" t="s">
        <v>21</v>
      </c>
      <c r="G185" s="3" t="s">
        <v>15</v>
      </c>
      <c r="H185" s="4" t="n">
        <v>46303</v>
      </c>
      <c r="I185" s="5" t="n">
        <v>6.2</v>
      </c>
      <c r="J185" s="2" t="s">
        <v>16</v>
      </c>
    </row>
    <row r="186" customFormat="false" ht="15" hidden="true" customHeight="false" outlineLevel="0" collapsed="false">
      <c r="A186" s="2" t="n">
        <v>185</v>
      </c>
      <c r="B186" s="3" t="s">
        <v>573</v>
      </c>
      <c r="C186" s="3" t="s">
        <v>574</v>
      </c>
      <c r="D186" s="2" t="s">
        <v>575</v>
      </c>
      <c r="E186" s="2" t="s">
        <v>51</v>
      </c>
      <c r="F186" s="3" t="s">
        <v>14</v>
      </c>
      <c r="G186" s="3" t="s">
        <v>37</v>
      </c>
      <c r="H186" s="4" t="n">
        <v>46315</v>
      </c>
      <c r="I186" s="5" t="n">
        <v>6.8</v>
      </c>
      <c r="J186" s="2" t="s">
        <v>23</v>
      </c>
    </row>
    <row r="187" customFormat="false" ht="15" hidden="false" customHeight="false" outlineLevel="0" collapsed="false">
      <c r="A187" s="2" t="n">
        <v>186</v>
      </c>
      <c r="B187" s="3" t="s">
        <v>576</v>
      </c>
      <c r="C187" s="3" t="s">
        <v>577</v>
      </c>
      <c r="D187" s="2" t="s">
        <v>578</v>
      </c>
      <c r="E187" s="2" t="s">
        <v>36</v>
      </c>
      <c r="F187" s="3" t="s">
        <v>41</v>
      </c>
      <c r="G187" s="3" t="s">
        <v>15</v>
      </c>
      <c r="H187" s="4" t="n">
        <v>46301</v>
      </c>
      <c r="I187" s="5" t="n">
        <v>5.9</v>
      </c>
      <c r="J187" s="2" t="s">
        <v>16</v>
      </c>
    </row>
    <row r="188" customFormat="false" ht="15" hidden="true" customHeight="false" outlineLevel="0" collapsed="false">
      <c r="A188" s="2" t="n">
        <v>187</v>
      </c>
      <c r="B188" s="3" t="s">
        <v>579</v>
      </c>
      <c r="C188" s="3" t="s">
        <v>580</v>
      </c>
      <c r="D188" s="2" t="s">
        <v>581</v>
      </c>
      <c r="E188" s="2" t="s">
        <v>51</v>
      </c>
      <c r="F188" s="3" t="s">
        <v>21</v>
      </c>
      <c r="G188" s="3" t="s">
        <v>52</v>
      </c>
      <c r="H188" s="4" t="n">
        <v>46311</v>
      </c>
      <c r="I188" s="5" t="n">
        <v>3.6</v>
      </c>
      <c r="J188" s="2" t="s">
        <v>16</v>
      </c>
    </row>
    <row r="189" customFormat="false" ht="15" hidden="false" customHeight="false" outlineLevel="0" collapsed="false">
      <c r="A189" s="2" t="n">
        <v>188</v>
      </c>
      <c r="B189" s="3" t="s">
        <v>582</v>
      </c>
      <c r="C189" s="3" t="s">
        <v>583</v>
      </c>
      <c r="D189" s="2" t="s">
        <v>584</v>
      </c>
      <c r="E189" s="2" t="s">
        <v>36</v>
      </c>
      <c r="F189" s="3" t="s">
        <v>21</v>
      </c>
      <c r="G189" s="3" t="s">
        <v>78</v>
      </c>
      <c r="H189" s="4" t="n">
        <v>46311</v>
      </c>
      <c r="I189" s="5" t="n">
        <v>6.7</v>
      </c>
      <c r="J189" s="2" t="s">
        <v>16</v>
      </c>
    </row>
    <row r="190" customFormat="false" ht="15" hidden="true" customHeight="false" outlineLevel="0" collapsed="false">
      <c r="A190" s="2" t="n">
        <v>189</v>
      </c>
      <c r="B190" s="3" t="s">
        <v>585</v>
      </c>
      <c r="C190" s="3" t="s">
        <v>586</v>
      </c>
      <c r="D190" s="2" t="s">
        <v>587</v>
      </c>
      <c r="E190" s="2" t="s">
        <v>51</v>
      </c>
      <c r="F190" s="3" t="s">
        <v>41</v>
      </c>
      <c r="G190" s="3" t="s">
        <v>28</v>
      </c>
      <c r="H190" s="4" t="n">
        <v>46299</v>
      </c>
      <c r="I190" s="5" t="n">
        <v>8.6</v>
      </c>
      <c r="J190" s="2" t="s">
        <v>16</v>
      </c>
    </row>
    <row r="191" customFormat="false" ht="15" hidden="true" customHeight="false" outlineLevel="0" collapsed="false">
      <c r="A191" s="2" t="n">
        <v>190</v>
      </c>
      <c r="B191" s="3" t="s">
        <v>588</v>
      </c>
      <c r="C191" s="3" t="s">
        <v>589</v>
      </c>
      <c r="D191" s="2" t="s">
        <v>590</v>
      </c>
      <c r="E191" s="2" t="s">
        <v>20</v>
      </c>
      <c r="F191" s="3" t="s">
        <v>41</v>
      </c>
      <c r="G191" s="3" t="s">
        <v>37</v>
      </c>
      <c r="H191" s="4" t="n">
        <v>46318</v>
      </c>
      <c r="I191" s="5" t="n">
        <v>4.2</v>
      </c>
      <c r="J191" s="2" t="s">
        <v>23</v>
      </c>
    </row>
    <row r="192" customFormat="false" ht="15" hidden="true" customHeight="false" outlineLevel="0" collapsed="false">
      <c r="A192" s="2" t="n">
        <v>191</v>
      </c>
      <c r="B192" s="3" t="s">
        <v>146</v>
      </c>
      <c r="C192" s="3" t="s">
        <v>591</v>
      </c>
      <c r="D192" s="2" t="s">
        <v>592</v>
      </c>
      <c r="E192" s="2" t="s">
        <v>27</v>
      </c>
      <c r="F192" s="3" t="s">
        <v>14</v>
      </c>
      <c r="G192" s="3" t="s">
        <v>52</v>
      </c>
      <c r="H192" s="4" t="n">
        <v>46317</v>
      </c>
      <c r="I192" s="5" t="n">
        <v>5.1</v>
      </c>
      <c r="J192" s="2" t="s">
        <v>16</v>
      </c>
    </row>
    <row r="193" customFormat="false" ht="15" hidden="true" customHeight="false" outlineLevel="0" collapsed="false">
      <c r="A193" s="2" t="n">
        <v>192</v>
      </c>
      <c r="B193" s="3" t="s">
        <v>593</v>
      </c>
      <c r="C193" s="3" t="s">
        <v>594</v>
      </c>
      <c r="D193" s="2" t="s">
        <v>595</v>
      </c>
      <c r="E193" s="2" t="s">
        <v>36</v>
      </c>
      <c r="F193" s="3" t="s">
        <v>21</v>
      </c>
      <c r="G193" s="3" t="s">
        <v>37</v>
      </c>
      <c r="H193" s="4" t="n">
        <v>46299</v>
      </c>
      <c r="I193" s="5" t="n">
        <v>7.8</v>
      </c>
      <c r="J193" s="2" t="s">
        <v>23</v>
      </c>
    </row>
    <row r="194" customFormat="false" ht="15" hidden="true" customHeight="false" outlineLevel="0" collapsed="false">
      <c r="A194" s="2" t="n">
        <v>193</v>
      </c>
      <c r="B194" s="3" t="s">
        <v>199</v>
      </c>
      <c r="C194" s="3" t="s">
        <v>596</v>
      </c>
      <c r="D194" s="2" t="s">
        <v>597</v>
      </c>
      <c r="E194" s="2" t="s">
        <v>13</v>
      </c>
      <c r="F194" s="3" t="s">
        <v>14</v>
      </c>
      <c r="G194" s="3" t="s">
        <v>78</v>
      </c>
      <c r="H194" s="4" t="n">
        <v>46308</v>
      </c>
      <c r="I194" s="5" t="n">
        <v>4.8</v>
      </c>
      <c r="J194" s="2" t="s">
        <v>16</v>
      </c>
    </row>
    <row r="195" customFormat="false" ht="15" hidden="false" customHeight="false" outlineLevel="0" collapsed="false">
      <c r="A195" s="2" t="n">
        <v>194</v>
      </c>
      <c r="B195" s="3" t="s">
        <v>598</v>
      </c>
      <c r="C195" s="3" t="s">
        <v>599</v>
      </c>
      <c r="D195" s="2" t="s">
        <v>600</v>
      </c>
      <c r="E195" s="2" t="s">
        <v>36</v>
      </c>
      <c r="F195" s="3" t="s">
        <v>32</v>
      </c>
      <c r="G195" s="3" t="s">
        <v>28</v>
      </c>
      <c r="H195" s="4" t="n">
        <v>46305</v>
      </c>
      <c r="I195" s="5" t="n">
        <v>5.1</v>
      </c>
      <c r="J195" s="2" t="s">
        <v>23</v>
      </c>
    </row>
    <row r="196" customFormat="false" ht="15" hidden="true" customHeight="false" outlineLevel="0" collapsed="false">
      <c r="A196" s="2" t="n">
        <v>195</v>
      </c>
      <c r="B196" s="3" t="s">
        <v>601</v>
      </c>
      <c r="C196" s="3" t="s">
        <v>602</v>
      </c>
      <c r="D196" s="2" t="s">
        <v>603</v>
      </c>
      <c r="E196" s="2" t="s">
        <v>13</v>
      </c>
      <c r="F196" s="3" t="s">
        <v>41</v>
      </c>
      <c r="G196" s="3" t="s">
        <v>37</v>
      </c>
      <c r="H196" s="4" t="n">
        <v>46319</v>
      </c>
      <c r="I196" s="5" t="n">
        <v>4.3</v>
      </c>
      <c r="J196" s="2" t="s">
        <v>16</v>
      </c>
    </row>
    <row r="197" customFormat="false" ht="15" hidden="true" customHeight="false" outlineLevel="0" collapsed="false">
      <c r="A197" s="2" t="n">
        <v>196</v>
      </c>
      <c r="B197" s="3" t="s">
        <v>604</v>
      </c>
      <c r="C197" s="3" t="s">
        <v>605</v>
      </c>
      <c r="D197" s="2" t="s">
        <v>606</v>
      </c>
      <c r="E197" s="2" t="s">
        <v>36</v>
      </c>
      <c r="F197" s="3" t="s">
        <v>41</v>
      </c>
      <c r="G197" s="3" t="s">
        <v>15</v>
      </c>
      <c r="H197" s="4" t="n">
        <v>46320</v>
      </c>
      <c r="I197" s="5" t="n">
        <v>8</v>
      </c>
      <c r="J197" s="2" t="s">
        <v>16</v>
      </c>
    </row>
    <row r="198" customFormat="false" ht="15" hidden="true" customHeight="false" outlineLevel="0" collapsed="false">
      <c r="A198" s="2" t="n">
        <v>197</v>
      </c>
      <c r="B198" s="3" t="s">
        <v>607</v>
      </c>
      <c r="C198" s="3" t="s">
        <v>608</v>
      </c>
      <c r="D198" s="2" t="s">
        <v>609</v>
      </c>
      <c r="E198" s="2" t="s">
        <v>13</v>
      </c>
      <c r="F198" s="3" t="s">
        <v>21</v>
      </c>
      <c r="G198" s="3" t="s">
        <v>52</v>
      </c>
      <c r="H198" s="4" t="n">
        <v>46298</v>
      </c>
      <c r="I198" s="5" t="n">
        <v>9.7</v>
      </c>
      <c r="J198" s="2" t="s">
        <v>16</v>
      </c>
    </row>
    <row r="199" customFormat="false" ht="15" hidden="false" customHeight="false" outlineLevel="0" collapsed="false">
      <c r="A199" s="2" t="n">
        <v>198</v>
      </c>
      <c r="B199" s="3" t="s">
        <v>610</v>
      </c>
      <c r="C199" s="3" t="s">
        <v>611</v>
      </c>
      <c r="D199" s="2" t="s">
        <v>612</v>
      </c>
      <c r="E199" s="2" t="s">
        <v>36</v>
      </c>
      <c r="F199" s="3" t="s">
        <v>41</v>
      </c>
      <c r="G199" s="3" t="s">
        <v>78</v>
      </c>
      <c r="H199" s="4" t="n">
        <v>46311</v>
      </c>
      <c r="I199" s="5" t="n">
        <v>5.3</v>
      </c>
      <c r="J199" s="2" t="s">
        <v>16</v>
      </c>
    </row>
    <row r="200" customFormat="false" ht="15" hidden="true" customHeight="false" outlineLevel="0" collapsed="false">
      <c r="A200" s="2" t="n">
        <v>199</v>
      </c>
      <c r="B200" s="3" t="s">
        <v>613</v>
      </c>
      <c r="C200" s="3" t="s">
        <v>614</v>
      </c>
      <c r="D200" s="2" t="s">
        <v>615</v>
      </c>
      <c r="E200" s="2" t="s">
        <v>36</v>
      </c>
      <c r="F200" s="3" t="s">
        <v>41</v>
      </c>
      <c r="G200" s="3" t="s">
        <v>52</v>
      </c>
      <c r="H200" s="4" t="n">
        <v>46314</v>
      </c>
      <c r="I200" s="5" t="n">
        <v>8.8</v>
      </c>
      <c r="J200" s="2" t="s">
        <v>16</v>
      </c>
    </row>
    <row r="201" customFormat="false" ht="15" hidden="false" customHeight="false" outlineLevel="0" collapsed="false">
      <c r="A201" s="2" t="n">
        <v>200</v>
      </c>
      <c r="B201" s="3" t="s">
        <v>616</v>
      </c>
      <c r="C201" s="3" t="s">
        <v>617</v>
      </c>
      <c r="D201" s="2" t="s">
        <v>618</v>
      </c>
      <c r="E201" s="2" t="s">
        <v>36</v>
      </c>
      <c r="F201" s="3" t="s">
        <v>14</v>
      </c>
      <c r="G201" s="3" t="s">
        <v>78</v>
      </c>
      <c r="H201" s="4" t="n">
        <v>46296</v>
      </c>
      <c r="I201" s="5" t="n">
        <v>5.7</v>
      </c>
      <c r="J201" s="2" t="s">
        <v>23</v>
      </c>
    </row>
  </sheetData>
  <autoFilter ref="A1:J201">
    <filterColumn colId="4">
      <filters>
        <filter val="CNTT"/>
      </filters>
    </filterColumn>
    <filterColumn colId="8">
      <customFilters and="true">
        <customFilter operator="lessThan" val="7"/>
      </custom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</cols>
  <sheetData>
    <row r="1" customFormat="false" ht="19.7" hidden="false" customHeight="false" outlineLevel="0" collapsed="false">
      <c r="A1" s="6" t="s">
        <v>619</v>
      </c>
    </row>
    <row r="2" customFormat="false" ht="15" hidden="false" customHeight="false" outlineLevel="0" collapsed="false">
      <c r="A2" s="7" t="s">
        <v>620</v>
      </c>
    </row>
    <row r="4" customFormat="false" ht="15" hidden="false" customHeight="false" outlineLevel="0" collapsed="false">
      <c r="A4" s="1" t="s">
        <v>5</v>
      </c>
      <c r="B4" s="1" t="s">
        <v>621</v>
      </c>
      <c r="C4" s="1" t="s">
        <v>622</v>
      </c>
    </row>
    <row r="5" customFormat="false" ht="15" hidden="false" customHeight="false" outlineLevel="0" collapsed="false">
      <c r="A5" s="3" t="s">
        <v>21</v>
      </c>
      <c r="B5" s="3" t="n">
        <f aca="false">COUNTIF('Danh sách'!$F$2:$F$201,A5)</f>
        <v>68</v>
      </c>
      <c r="C5" s="8" t="n">
        <f aca="false">B5/$B$9</f>
        <v>0.34</v>
      </c>
    </row>
    <row r="6" customFormat="false" ht="15" hidden="false" customHeight="false" outlineLevel="0" collapsed="false">
      <c r="A6" s="3" t="s">
        <v>41</v>
      </c>
      <c r="B6" s="3" t="n">
        <f aca="false">COUNTIF('Danh sách'!$F$2:$F$201,A6)</f>
        <v>47</v>
      </c>
      <c r="C6" s="8" t="n">
        <f aca="false">B6/$B$9</f>
        <v>0.235</v>
      </c>
    </row>
    <row r="7" customFormat="false" ht="15" hidden="false" customHeight="false" outlineLevel="0" collapsed="false">
      <c r="A7" s="3" t="s">
        <v>14</v>
      </c>
      <c r="B7" s="3" t="n">
        <f aca="false">COUNTIF('Danh sách'!$F$2:$F$201,A7)</f>
        <v>48</v>
      </c>
      <c r="C7" s="8" t="n">
        <f aca="false">B7/$B$9</f>
        <v>0.24</v>
      </c>
    </row>
    <row r="8" customFormat="false" ht="15" hidden="false" customHeight="false" outlineLevel="0" collapsed="false">
      <c r="A8" s="3" t="s">
        <v>32</v>
      </c>
      <c r="B8" s="3" t="n">
        <f aca="false">COUNTIF('Danh sách'!$F$2:$F$201,A8)</f>
        <v>37</v>
      </c>
      <c r="C8" s="8" t="n">
        <f aca="false">B8/$B$9</f>
        <v>0.185</v>
      </c>
    </row>
    <row r="9" customFormat="false" ht="15" hidden="false" customHeight="false" outlineLevel="0" collapsed="false">
      <c r="A9" s="9" t="s">
        <v>623</v>
      </c>
      <c r="B9" s="9" t="n">
        <f aca="false">SUM(B5:B8)</f>
        <v>200</v>
      </c>
      <c r="C9" s="10" t="n">
        <f aca="false">SUM(C5:C8)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6" t="s">
        <v>624</v>
      </c>
    </row>
    <row r="2" customFormat="false" ht="15" hidden="false" customHeight="false" outlineLevel="0" collapsed="false">
      <c r="A2" s="7" t="s">
        <v>625</v>
      </c>
    </row>
    <row r="4" customFormat="false" ht="15" hidden="false" customHeight="false" outlineLevel="0" collapsed="false">
      <c r="A4" s="1" t="s">
        <v>626</v>
      </c>
      <c r="B4" s="1" t="s">
        <v>627</v>
      </c>
    </row>
    <row r="5" customFormat="false" ht="15" hidden="false" customHeight="false" outlineLevel="0" collapsed="false">
      <c r="A5" s="3" t="s">
        <v>85</v>
      </c>
      <c r="B5" s="3" t="n">
        <f aca="false">COUNTIF('Danh sách'!$G$2:$G$201,A5)</f>
        <v>16</v>
      </c>
    </row>
    <row r="6" customFormat="false" ht="15" hidden="false" customHeight="false" outlineLevel="0" collapsed="false">
      <c r="A6" s="3" t="s">
        <v>52</v>
      </c>
      <c r="B6" s="3" t="n">
        <f aca="false">COUNTIF('Danh sách'!$G$2:$G$201,A6)</f>
        <v>28</v>
      </c>
    </row>
    <row r="7" customFormat="false" ht="15" hidden="false" customHeight="false" outlineLevel="0" collapsed="false">
      <c r="A7" s="3" t="s">
        <v>56</v>
      </c>
      <c r="B7" s="3" t="n">
        <f aca="false">COUNTIF('Danh sách'!$G$2:$G$201,A7)</f>
        <v>23</v>
      </c>
    </row>
    <row r="8" customFormat="false" ht="15" hidden="false" customHeight="false" outlineLevel="0" collapsed="false">
      <c r="A8" s="3" t="s">
        <v>78</v>
      </c>
      <c r="B8" s="3" t="n">
        <f aca="false">COUNTIF('Danh sách'!$G$2:$G$201,A8)</f>
        <v>22</v>
      </c>
    </row>
    <row r="9" customFormat="false" ht="15" hidden="false" customHeight="false" outlineLevel="0" collapsed="false">
      <c r="A9" s="3" t="s">
        <v>28</v>
      </c>
      <c r="B9" s="3" t="n">
        <f aca="false">COUNTIF('Danh sách'!$G$2:$G$201,A9)</f>
        <v>25</v>
      </c>
    </row>
    <row r="10" customFormat="false" ht="15" hidden="false" customHeight="false" outlineLevel="0" collapsed="false">
      <c r="A10" s="3" t="s">
        <v>22</v>
      </c>
      <c r="B10" s="3" t="n">
        <f aca="false">COUNTIF('Danh sách'!$G$2:$G$201,A10)</f>
        <v>19</v>
      </c>
    </row>
    <row r="11" customFormat="false" ht="15" hidden="false" customHeight="false" outlineLevel="0" collapsed="false">
      <c r="A11" s="3" t="s">
        <v>37</v>
      </c>
      <c r="B11" s="3" t="n">
        <f aca="false">COUNTIF('Danh sách'!$G$2:$G$201,A11)</f>
        <v>37</v>
      </c>
    </row>
    <row r="12" customFormat="false" ht="15" hidden="false" customHeight="false" outlineLevel="0" collapsed="false">
      <c r="A12" s="3" t="s">
        <v>15</v>
      </c>
      <c r="B12" s="3" t="n">
        <f aca="false">COUNTIF('Danh sách'!$G$2:$G$201,A12)</f>
        <v>30</v>
      </c>
    </row>
    <row r="13" customFormat="false" ht="15" hidden="false" customHeight="false" outlineLevel="0" collapsed="false">
      <c r="A13" s="9" t="s">
        <v>623</v>
      </c>
      <c r="B13" s="9" t="n">
        <f aca="false">SUM(B5:B12)</f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</cols>
  <sheetData>
    <row r="1" customFormat="false" ht="19.7" hidden="false" customHeight="false" outlineLevel="0" collapsed="false">
      <c r="A1" s="6" t="s">
        <v>628</v>
      </c>
    </row>
    <row r="4" customFormat="false" ht="15" hidden="false" customHeight="false" outlineLevel="0" collapsed="false">
      <c r="A4" s="1" t="s">
        <v>9</v>
      </c>
      <c r="B4" s="1" t="s">
        <v>621</v>
      </c>
      <c r="C4" s="1" t="s">
        <v>622</v>
      </c>
    </row>
    <row r="5" customFormat="false" ht="15" hidden="false" customHeight="false" outlineLevel="0" collapsed="false">
      <c r="A5" s="3" t="s">
        <v>16</v>
      </c>
      <c r="B5" s="3" t="n">
        <f aca="false">COUNTIF('Danh sách'!$J$2:$J$201,A5)</f>
        <v>148</v>
      </c>
      <c r="C5" s="8" t="n">
        <f aca="false">B5/$B$7</f>
        <v>0.74</v>
      </c>
    </row>
    <row r="6" customFormat="false" ht="15" hidden="false" customHeight="false" outlineLevel="0" collapsed="false">
      <c r="A6" s="3" t="s">
        <v>23</v>
      </c>
      <c r="B6" s="3" t="n">
        <f aca="false">COUNTIF('Danh sách'!$J$2:$J$201,A6)</f>
        <v>52</v>
      </c>
      <c r="C6" s="8" t="n">
        <f aca="false">B6/$B$7</f>
        <v>0.26</v>
      </c>
    </row>
    <row r="7" customFormat="false" ht="15" hidden="false" customHeight="false" outlineLevel="0" collapsed="false">
      <c r="A7" s="9" t="s">
        <v>623</v>
      </c>
      <c r="B7" s="9" t="n">
        <f aca="false">SUM(B5:B6)</f>
        <v>200</v>
      </c>
      <c r="C7" s="10" t="n">
        <f aca="false">SUM(C5:C6)</f>
        <v>1</v>
      </c>
    </row>
    <row r="9" customFormat="false" ht="15" hidden="false" customHeight="false" outlineLevel="0" collapsed="false">
      <c r="A9" s="11" t="s">
        <v>629</v>
      </c>
    </row>
    <row r="10" customFormat="false" ht="15" hidden="false" customHeight="false" outlineLevel="0" collapsed="false">
      <c r="A10" s="3" t="s">
        <v>630</v>
      </c>
      <c r="B10" s="12" t="n">
        <f aca="false">AVERAGE('Danh sách'!I2:I201)</f>
        <v>6.6785</v>
      </c>
    </row>
    <row r="11" customFormat="false" ht="15" hidden="false" customHeight="false" outlineLevel="0" collapsed="false">
      <c r="A11" s="3" t="s">
        <v>631</v>
      </c>
      <c r="B11" s="3" t="n">
        <f aca="false">COUNTIF('Danh sách'!E2:E201,"CNTT")</f>
        <v>91</v>
      </c>
    </row>
    <row r="12" customFormat="false" ht="15" hidden="false" customHeight="false" outlineLevel="0" collapsed="false">
      <c r="A12" s="3" t="s">
        <v>632</v>
      </c>
      <c r="B12" s="3" t="n">
        <f aca="false">COUNTIFS('Danh sách'!E2:E201,"CNTT",'Danh sách'!I2:I201,"&lt;7")</f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19.7" hidden="false" customHeight="false" outlineLevel="0" collapsed="false">
      <c r="A1" s="6" t="s">
        <v>633</v>
      </c>
    </row>
    <row r="3" customFormat="false" ht="26.85" hidden="false" customHeight="false" outlineLevel="0" collapsed="false">
      <c r="A3" s="1" t="s">
        <v>634</v>
      </c>
      <c r="B3" s="1" t="s">
        <v>635</v>
      </c>
      <c r="C3" s="1" t="s">
        <v>636</v>
      </c>
      <c r="D3" s="1" t="s">
        <v>637</v>
      </c>
      <c r="E3" s="1" t="s">
        <v>638</v>
      </c>
    </row>
    <row r="4" customFormat="false" ht="15" hidden="false" customHeight="false" outlineLevel="0" collapsed="false">
      <c r="A4" s="3" t="str">
        <f aca="false">'Danh sách'!B12</f>
        <v>Lê Gia Yến </v>
      </c>
      <c r="B4" s="3" t="n">
        <f aca="false">LEN(A4)</f>
        <v>11</v>
      </c>
      <c r="C4" s="3" t="str">
        <f aca="false">TRIM(A4)</f>
        <v>Lê Gia Yến</v>
      </c>
      <c r="D4" s="3" t="n">
        <f aca="false">LEN(C4)</f>
        <v>10</v>
      </c>
      <c r="E4" s="3" t="str">
        <f aca="false">IF(B4&lt;&gt;D4,"Có","Không")</f>
        <v>Có</v>
      </c>
    </row>
    <row r="5" customFormat="false" ht="15" hidden="false" customHeight="false" outlineLevel="0" collapsed="false">
      <c r="A5" s="3" t="str">
        <f aca="false">'Danh sách'!B37</f>
        <v> Dương Đức Linh</v>
      </c>
      <c r="B5" s="3" t="n">
        <f aca="false">LEN(A5)</f>
        <v>15</v>
      </c>
      <c r="C5" s="3" t="str">
        <f aca="false">TRIM(A5)</f>
        <v>Dương Đức Linh</v>
      </c>
      <c r="D5" s="3" t="n">
        <f aca="false">LEN(C5)</f>
        <v>14</v>
      </c>
      <c r="E5" s="3" t="str">
        <f aca="false">IF(B5&lt;&gt;D5,"Có","Không")</f>
        <v>Có</v>
      </c>
    </row>
    <row r="6" customFormat="false" ht="15" hidden="false" customHeight="false" outlineLevel="0" collapsed="false">
      <c r="A6" s="3" t="str">
        <f aca="false">'Danh sách'!B79</f>
        <v>Lý Gia Nga </v>
      </c>
      <c r="B6" s="3" t="n">
        <f aca="false">LEN(A6)</f>
        <v>11</v>
      </c>
      <c r="C6" s="3" t="str">
        <f aca="false">TRIM(A6)</f>
        <v>Lý Gia Nga</v>
      </c>
      <c r="D6" s="3" t="n">
        <f aca="false">LEN(C6)</f>
        <v>10</v>
      </c>
      <c r="E6" s="3" t="str">
        <f aca="false">IF(B6&lt;&gt;D6,"Có","Không")</f>
        <v>Có</v>
      </c>
    </row>
    <row r="7" customFormat="false" ht="15" hidden="false" customHeight="false" outlineLevel="0" collapsed="false">
      <c r="A7" s="3" t="str">
        <f aca="false">'Danh sách'!B122</f>
        <v> Dương Minh Trang  </v>
      </c>
      <c r="B7" s="3" t="n">
        <f aca="false">LEN(A7)</f>
        <v>19</v>
      </c>
      <c r="C7" s="3" t="str">
        <f aca="false">TRIM(A7)</f>
        <v>Dương Minh Trang</v>
      </c>
      <c r="D7" s="3" t="n">
        <f aca="false">LEN(C7)</f>
        <v>16</v>
      </c>
      <c r="E7" s="3" t="str">
        <f aca="false">IF(B7&lt;&gt;D7,"Có","Không")</f>
        <v>Có</v>
      </c>
    </row>
    <row r="8" customFormat="false" ht="15" hidden="false" customHeight="false" outlineLevel="0" collapsed="false">
      <c r="A8" s="3" t="str">
        <f aca="false">'Danh sách'!B162</f>
        <v>Đỗ Gia Quân </v>
      </c>
      <c r="B8" s="3" t="n">
        <f aca="false">LEN(A8)</f>
        <v>12</v>
      </c>
      <c r="C8" s="3" t="str">
        <f aca="false">TRIM(A8)</f>
        <v>Đỗ Gia Quân</v>
      </c>
      <c r="D8" s="3" t="n">
        <f aca="false">LEN(C8)</f>
        <v>11</v>
      </c>
      <c r="E8" s="3" t="str">
        <f aca="false">IF(B8&lt;&gt;D8,"Có","Không")</f>
        <v>Có</v>
      </c>
    </row>
    <row r="10" customFormat="false" ht="15" hidden="false" customHeight="false" outlineLevel="0" collapsed="false">
      <c r="A10" s="13" t="s">
        <v>639</v>
      </c>
    </row>
    <row r="11" customFormat="false" ht="15" hidden="false" customHeight="false" outlineLevel="0" collapsed="false">
      <c r="A11" s="14" t="s">
        <v>640</v>
      </c>
    </row>
    <row r="12" customFormat="false" ht="15" hidden="false" customHeight="false" outlineLevel="0" collapsed="false">
      <c r="A12" s="14" t="s">
        <v>641</v>
      </c>
    </row>
    <row r="13" customFormat="false" ht="15" hidden="false" customHeight="false" outlineLevel="0" collapsed="false">
      <c r="A13" s="14" t="s">
        <v>642</v>
      </c>
    </row>
    <row r="14" customFormat="false" ht="15" hidden="false" customHeight="false" outlineLevel="0" collapsed="false">
      <c r="A14" s="14" t="s">
        <v>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5" t="s">
        <v>644</v>
      </c>
    </row>
    <row r="2" customFormat="false" ht="15" hidden="false" customHeight="false" outlineLevel="0" collapsed="false">
      <c r="A2" s="16" t="s">
        <v>645</v>
      </c>
    </row>
    <row r="3" customFormat="false" ht="15" hidden="false" customHeight="false" outlineLevel="0" collapsed="false">
      <c r="A3" s="16"/>
    </row>
    <row r="4" customFormat="false" ht="15" hidden="false" customHeight="false" outlineLevel="0" collapsed="false">
      <c r="A4" s="15" t="s">
        <v>646</v>
      </c>
    </row>
    <row r="5" customFormat="false" ht="15" hidden="false" customHeight="false" outlineLevel="0" collapsed="false">
      <c r="A5" s="16" t="s">
        <v>647</v>
      </c>
    </row>
    <row r="6" customFormat="false" ht="15" hidden="false" customHeight="false" outlineLevel="0" collapsed="false">
      <c r="A6" s="16" t="s">
        <v>648</v>
      </c>
    </row>
    <row r="7" customFormat="false" ht="15" hidden="false" customHeight="false" outlineLevel="0" collapsed="false">
      <c r="A7" s="16" t="s">
        <v>649</v>
      </c>
    </row>
    <row r="8" customFormat="false" ht="15" hidden="false" customHeight="false" outlineLevel="0" collapsed="false">
      <c r="A8" s="16" t="s">
        <v>650</v>
      </c>
    </row>
    <row r="9" customFormat="false" ht="15" hidden="false" customHeight="false" outlineLevel="0" collapsed="false">
      <c r="A9" s="16" t="s">
        <v>651</v>
      </c>
    </row>
    <row r="10" customFormat="false" ht="15" hidden="false" customHeight="false" outlineLevel="0" collapsed="false">
      <c r="A10" s="16"/>
    </row>
    <row r="11" customFormat="false" ht="15" hidden="false" customHeight="false" outlineLevel="0" collapsed="false">
      <c r="A11" s="15" t="s">
        <v>652</v>
      </c>
    </row>
    <row r="12" customFormat="false" ht="15" hidden="false" customHeight="false" outlineLevel="0" collapsed="false">
      <c r="A12" s="16" t="s">
        <v>653</v>
      </c>
    </row>
    <row r="13" customFormat="false" ht="15" hidden="false" customHeight="false" outlineLevel="0" collapsed="false">
      <c r="A13" s="16" t="s">
        <v>654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2026-10-26T23:11:26Z</dcterms:created>
  <dc:creator>openpyxl</dc:creator>
  <dc:description/>
  <dc:language>en-US</dc:language>
  <cp:lastModifiedBy/>
  <dcterms:modified xsi:type="dcterms:W3CDTF">2026-10-26T23:11:28Z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